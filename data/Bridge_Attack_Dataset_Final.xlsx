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set" sheetId="1" state="visible" r:id="rId3"/>
    <sheet name="Summary" sheetId="2" state="visible" r:id="rId4"/>
    <sheet name="Excluded Incidents" sheetId="3" state="visible" r:id="rId5"/>
    <sheet name="Codebook" sheetId="4" state="visible" r:id="rId6"/>
    <sheet name="Change Log" sheetId="5" state="visible" r:id="rId7"/>
  </sheets>
  <definedNames>
    <definedName function="false" hidden="true" localSheetId="0" name="_xlnm._FilterDatabase" vbProcedure="false">Dataset!$A$1:$X$49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<sst xmlns="http://schemas.openxmlformats.org/spreadsheetml/2006/main" count="1040" uniqueCount="657">
  <si>
    <t xml:space="preserve">ID</t>
  </si>
  <si>
    <t xml:space="preserve">Date</t>
  </si>
  <si>
    <t xml:space="preserve">Year</t>
  </si>
  <si>
    <t xml:space="preserve">Victim Platform</t>
  </si>
  <si>
    <t xml:space="preserve">Loss (as reported)</t>
  </si>
  <si>
    <t xml:space="preserve">Gross Bridge-Specific Loss (USD)</t>
  </si>
  <si>
    <t xml:space="preserve">Loss Normalization Note</t>
  </si>
  <si>
    <t xml:space="preserve">Attack Pattern &amp; Root Cause</t>
  </si>
  <si>
    <t xml:space="preserve">Source 1</t>
  </si>
  <si>
    <t xml:space="preserve">Source 2</t>
  </si>
  <si>
    <t xml:space="preserve">Source 3</t>
  </si>
  <si>
    <t xml:space="preserve">Evidence Level</t>
  </si>
  <si>
    <t xml:space="preserve">Attack Pattern</t>
  </si>
  <si>
    <t xml:space="preserve">Primary Functional Domain</t>
  </si>
  <si>
    <t xml:space="preserve">Reason (Why This Pattern &amp; Domain)</t>
  </si>
  <si>
    <t xml:space="preserve">Scope / Evidence Note</t>
  </si>
  <si>
    <t xml:space="preserve">Enabling Mechanism</t>
  </si>
  <si>
    <t xml:space="preserve">Boundary Case</t>
  </si>
  <si>
    <t xml:space="preserve">Alternative Pattern</t>
  </si>
  <si>
    <t xml:space="preserve">Alternative Domain</t>
  </si>
  <si>
    <t xml:space="preserve">Classification Confidence</t>
  </si>
  <si>
    <t xml:space="preserve">Coder 2 – Attack Pattern</t>
  </si>
  <si>
    <t xml:space="preserve">Coder 2 – Primary Functional Domain</t>
  </si>
  <si>
    <t xml:space="preserve">Loss Basis</t>
  </si>
  <si>
    <t xml:space="preserve">BR-001</t>
  </si>
  <si>
    <t xml:space="preserve">warp.green ERC-20 Bridge (Chia ↔ Ethereum/Base)</t>
  </si>
  <si>
    <t xml:space="preserve">~$93K</t>
  </si>
  <si>
    <t xml:space="preserve">A Chia-side Chialisp puzzle bug in the ERC-20 bridge module (the separate CAT bridge, securing assets like wXCH, was unaffected). The attacker minted worthless CAT tokens on Chia and presented them to the trusted validator set as legitimately burned wUSDC. Validators signed off on the fake burn attestations, authorizing the EVM side to release real USDC — draining ~85,000 wUSDC.b and 8,000 wUSDC (~$93K) from the Ethereum/Base bridge contracts, later converted to ETH and moved through Tornado Cash. The team offered the attacker a 10% white-hat bounty for returning 90% of funds within 48 hours; the attacker declined.</t>
  </si>
  <si>
    <t xml:space="preserve">https://www.gate.com/news/detail/warpgreen-confirms-erc-20-bridge-vulnerability-offers-attacker-10-white-hat-23695179</t>
  </si>
  <si>
    <t xml:space="preserve">https://hacked.slowmist.io/?c=Bridge</t>
  </si>
  <si>
    <t xml:space="preserve">https://xch.today/2026/08/26/a-difficult-week-for-chia-defi-warp-green-tibetswap-and-circuit/</t>
  </si>
  <si>
    <t xml:space="preserve">E2</t>
  </si>
  <si>
    <t xml:space="preserve">Event Injection (EI)</t>
  </si>
  <si>
    <t xml:space="preserve">FD-1 Deposit</t>
  </si>
  <si>
    <t xml:space="preserve">The attacker fabricated a fake burn signal, a worthless minted token presented as a real burn, and the validator set accepted that fabricated signal as proof of a genuine action without independently confirming it. This is the core Event Injection behavior, a crafted signal accepted as a real bridge event, and for this we have mapped it to Event Injection (EI). A burn is the bridge's mirror image of a deposit, and the forged signal is what fooled that exact deposit-recognition point, so for this we have mapped it to FD-1 Deposit.</t>
  </si>
  <si>
    <t xml:space="preserve">None recorded</t>
  </si>
  <si>
    <t xml:space="preserve">No</t>
  </si>
  <si>
    <t xml:space="preserve">Bridge-held assets withdrawn</t>
  </si>
  <si>
    <t xml:space="preserve">BR-002</t>
  </si>
  <si>
    <t xml:space="preserve">The Sandbox Bridge (SAND / LayerZero OFT — Base &amp; BNB Chain)</t>
  </si>
  <si>
    <t xml:space="preserve">~$1.5M economic impact (~$697K direct vault drain)</t>
  </si>
  <si>
    <t xml:space="preserve">Reported as Aug 21–22, 2026; start date used.; Direct vault drain only; ~$1.5M "economic impact" (incl. token price effects) excluded.</t>
  </si>
  <si>
    <t xml:space="preserve">A configuration flaw, not a LayerZero protocol bug (confirmed by Blockaid). SAND's omnichain fungible token (OFT) contract on Base and BNB Chain exposed an approveAndCall function that let the attacker submit a crafted payload causing the contract to call setDelegate on itself, making the attacker the sole verifier of incoming LayerZero bridge messages for that contract. With that control, the attacker forged bridge messages authorizing mints with no corresponding real burn/lock on Ethereum, minting 50M+ SAND initially and eventually over 339 trillion unbacked SAND across Base/BNB Chain, and redeeming 14,742,341.84 real SAND (~$697K) from the Ethereum vault before the team cut LayerZero peer trust and permanently retired the compromised contracts. Ethereum and Polygon SAND were unaffected.</t>
  </si>
  <si>
    <t xml:space="preserve">https://www.sandbox.game/en/blog/august-22-exploit-post-mortem/</t>
  </si>
  <si>
    <t xml:space="preserve">https://crypto.news/sandbox-329-trillion-sand-bridge-exploit-675k-stolen/</t>
  </si>
  <si>
    <t xml:space="preserve">https://cointelegraph.com/news/the-sandbox-compensation-sand-bridge-exploit</t>
  </si>
  <si>
    <t xml:space="preserve">E1</t>
  </si>
  <si>
    <t xml:space="preserve">Proof Forgery (PF)</t>
  </si>
  <si>
    <t xml:space="preserve">FD-3 Verification</t>
  </si>
  <si>
    <t xml:space="preserve">The attacker seized control of the message verification role itself via setDelegate, then used that control to forge bridge messages authorizing mints with no real burn or lock behind them. Forging a message that bypasses the verification gate to release funds without a genuine deposit is the defining behavior of Proof Forgery, and for this we have mapped it to Proof Forgery (PF). The compromised component was specifically who is trusted to verify incoming LayerZero messages, so for this we have mapped it to FD-3 Verification.</t>
  </si>
  <si>
    <t xml:space="preserve">BR-003</t>
  </si>
  <si>
    <t xml:space="preserve">Allbridge (Base CCTP router)</t>
  </si>
  <si>
    <t xml:space="preserve">~$190K</t>
  </si>
  <si>
    <t xml:space="preserve">Allbridge's new Base router integrated Circle's CCTP, but its receiveCctpMessage handler credited the amount written inside an attested Circle message as a spendable deposit without verifying that USDC had actually been minted/delivered to the bridge. The attacker pre-staged a forged message on Polygon 24 days earlier (Circle's MessageTransmitterV2.sendMessage will attest any payload shaped like a deposit, with no burn/mint attached), then — six seconds after a real, unrelated deposit landed and topped up the router's balance — redeemed the forged message, flash-loaned the remaining shortfall (~$809K) from Aave, and withdrew ~$999K, netting ~$190K after repaying the loan.</t>
  </si>
  <si>
    <t xml:space="preserve">https://slowmist.medium.com/a-cross-chain-attack-spanning-one-month-analysis-of-the-allbridge-hack-32a6183bce08</t>
  </si>
  <si>
    <t xml:space="preserve">https://defimon.xyz/blog/allbridge-hack-august-2026</t>
  </si>
  <si>
    <t xml:space="preserve">https://broadchain.info/en/articles/tpeh93</t>
  </si>
  <si>
    <t xml:space="preserve">receiveCctpMessage treated the mere existence of an attested message as proof of a deposit, without checking that the funds it described had actually been minted or delivered. Accepting a fake deposit signal as real, with no genuine funds behind it, is the Event Injection pattern, and for this we have mapped it to Event Injection (EI). The vulnerable check is exactly the one meant to confirm a genuine deposit occurred before crediting a balance, so for this we have mapped it to FD-1 Deposit.</t>
  </si>
  <si>
    <t xml:space="preserve">Flash loan</t>
  </si>
  <si>
    <t xml:space="preserve">Yes</t>
  </si>
  <si>
    <t xml:space="preserve">BR-004</t>
  </si>
  <si>
    <t xml:space="preserve">Coreum/tx XRP Ledger Bridge</t>
  </si>
  <si>
    <t xml:space="preserve">$200K</t>
  </si>
  <si>
    <t xml:space="preserve">The bridge's relayer software watched the bridge account's transaction history for payments carrying a "Coreum recipient" memo and treated a matching memo as proof of deposit — without ever checking that the payment's destination was actually the bridge address. Since the bridge itself issues the wrapped Coreum token on the XRP Ledger, the attacker simply moved that wrapped token between two wallets they controlled, attached a fake deposit memo, and the transaction showed up in the bridge account's own history. 21 relayers attested the phantom deposit; a 17-of-28 multisig quorum then co-signed 94 real XRP withdrawals over 97 minutes, draining 99.7% of the bridge's XRP reserve. All relayers ran the same unpatched code, so "independent" signers reached identical (wrong) conclusions.</t>
  </si>
  <si>
    <t xml:space="preserve">https://en.cryptonomist.ch/2026/08/12/xrp-coreum-bridge-hack/</t>
  </si>
  <si>
    <t xml:space="preserve">https://sigintzero.com/blog/coreum-bridge-200k-xrp-rippling-deposit-forgery</t>
  </si>
  <si>
    <t xml:space="preserve">https://shattered.io/coreum-bridge-hack-200k-xrp-2026/</t>
  </si>
  <si>
    <t xml:space="preserve">Relayers accepted a self-sent transfer carrying a fake deposit memo as proof of a real deposit, without checking the transaction actually went to the bridge address. A fabricated deposit signal accepted at face value is the Event Injection pattern, and for this we have mapped it to Event Injection (EI). The flaw is in how a deposit is recognized and attested in the first place, so for this we have mapped it to FD-1 Deposit.</t>
  </si>
  <si>
    <t xml:space="preserve">BR-005</t>
  </si>
  <si>
    <t xml:space="preserve">Verus-Ethereum Bridge (2nd incident, repeat attack)</t>
  </si>
  <si>
    <t xml:space="preserve">~$7.54M</t>
  </si>
  <si>
    <t xml:space="preserve">The same vulnerability class as the May 18, 2026 Verus-Ethereum Bridge incident (see that record), reused against the same contract and entry path (submitImports) just two weeks after recovered funds from the May attack had been redeposited into the bridge — strongly suggesting the original fix was incomplete or the patch was never fully deployed. A different attacker, using a new wallet, drained ETH, tBTC, USDC, USDT, EURC, MKR, and scrvUSD.</t>
  </si>
  <si>
    <t xml:space="preserve">https://www.certik.com/blog/verus-incident-analysis</t>
  </si>
  <si>
    <t xml:space="preserve">https://sigintzero.com/blog/verus-bridge-7-5m-state-root-parser-divergence</t>
  </si>
  <si>
    <t xml:space="preserve">https://www.cryptotimes.io/2026/07/26/crypto-loses-over-47m-in-a-week-as-afx-trade-wanchain-verus-get-hacked/</t>
  </si>
  <si>
    <t xml:space="preserve">submitImports confirmed a transfer hash existed but never checked that the value was actually backed by locked collateral on Verus, so the verification step accepted an unbacked claim as valid. Bypassing the verification check to release funds with no genuine backing is Proof Forgery, and for this we have mapped it to Proof Forgery (PF). The flaw lives in the bridge's cross-chain transfer verification function, so for this we have mapped it to FD-3 Verification.</t>
  </si>
  <si>
    <t xml:space="preserve">BR-006</t>
  </si>
  <si>
    <t xml:space="preserve">AFX Trade (Arbitrum custodial bridge)</t>
  </si>
  <si>
    <t xml:space="preserve">~$24.15M</t>
  </si>
  <si>
    <t xml:space="preserve">A validator private-key compromise, similar in kind to IoTeX. The attacker obtained private keys belonging to five of AFX's bridge validators — enough to reach the quorum threshold required to approve a withdrawal. The bridge contract did have a 200-second challenge period meant to let anyone flag a suspicious pending withdrawal, but nobody filed a challenge in time, and the contract auto-finalized the fraudulent transaction.</t>
  </si>
  <si>
    <t xml:space="preserve">https://lazarus.day/reports/a-detailed-post-mortem-on-the-afx-security-incident-P8mpR/</t>
  </si>
  <si>
    <t xml:space="preserve">https://www.coindesk.com/tech/2026/07/23/arbitrum-based-afx-trade-drained-of-usd24-million-after-bridge-keys-compromised</t>
  </si>
  <si>
    <t xml:space="preserve">https://en.cryptonomist.ch/2026/07/31/afx-bridge-exploit-recovery/</t>
  </si>
  <si>
    <t xml:space="preserve">Credential Seizure (CS)</t>
  </si>
  <si>
    <t xml:space="preserve">FD-5 Governance &amp; Operations</t>
  </si>
  <si>
    <t xml:space="preserve">The attacker obtained private keys for enough bridge validators to meet the withdrawal quorum, so the contract was simply following its own rules when it accepted signatures it had no way of knowing were stolen. Using a genuinely stolen signing credential to authorize a transaction, rather than exploiting any code flaw, is the Credential Seizure pattern, and for this we have mapped it to Credential Seizure (CS). Validator signing keys are part of the bridge's persistent operational control plane, so for this we have mapped it to FD-5 Governance &amp; Operations.</t>
  </si>
  <si>
    <t xml:space="preserve">BR-007</t>
  </si>
  <si>
    <t xml:space="preserve">Wanchain (Cardano ↔ BNB Chain bridge, NIGHT token)</t>
  </si>
  <si>
    <t xml:space="preserve">$9–13M</t>
  </si>
  <si>
    <t xml:space="preserve">Reported range $9–13M; conservative lower bound used.</t>
  </si>
  <si>
    <t xml:space="preserve">A message-encoding ambiguity in the bridge's TreasuryCheck validator. The contract signed off on withdrawals by concatenating 14 different variable-length fields into one message with no separators or length markers — meaning two different amounts could produce byte sequences that looked identical to the signature check. The attacker took a legitimate MPC-signed authorization for a tiny withdrawal (~3,110 NIGHT) and shifted the byte boundary between two number fields so the same signature also validated a withdrawal over 65,000 times larger.</t>
  </si>
  <si>
    <t xml:space="preserve">https://medium.com/@wanchain_org/cardano-bnb-chain-bridge-incident-post-mortem-353e465276e7</t>
  </si>
  <si>
    <t xml:space="preserve">https://blocksec.com/blog/web3-security-allbridge-wanchain-exploits</t>
  </si>
  <si>
    <t xml:space="preserve">https://www.cryptotimes.io/insights/wanchain-night-bridge-exploit-signature-flaw/</t>
  </si>
  <si>
    <t xml:space="preserve">The flaw was in how the TreasuryCheck validator authenticated a signed withdrawal message. An encoding ambiguity let one genuine signature validate two very different amounts, meaning the signature check approved an unauthorized value. A flaw in the message authentication mechanism that lets an unauthorized value pass as valid is Proof Forgery, and for this we have mapped it to Proof Forgery (PF). TreasuryCheck is the component responsible for confirming a withdrawal request is authentic before it executes, so for this we have mapped it to FD-3 Verification.</t>
  </si>
  <si>
    <t xml:space="preserve">BR-008</t>
  </si>
  <si>
    <t xml:space="preserve">Allbridge Core (Solana stablecoin pools)</t>
  </si>
  <si>
    <t xml:space="preserve">~$1.65M</t>
  </si>
  <si>
    <t xml:space="preserve">Reported as Jul 19–20, 2026; start date used.</t>
  </si>
  <si>
    <t xml:space="preserve">A flash-loan price manipulation attack on the bridge's internal liquidity accounting. The attacker flash-borrowed $1.12M in USDC, then ran a rapid sequence of same-asset stablecoin swaps specifically designed to break the pool's internal virtual-balance math, severely mispricing USDT relative to USDC. They then withdrew a hugely outsized amount of USDC for a tiny amount of USDT, repaid the flash loan, and bridged the profit to Ethereum. Notably, this was the second time Allbridge suffered nearly this exact class of flash-loan attack.</t>
  </si>
  <si>
    <t xml:space="preserve">https://outposts.io/article/allbridge-core-resumes-operations-after-dollar165m-security-2073cf35-cbcf-40c2-9d6b-de033aaf5528</t>
  </si>
  <si>
    <t xml:space="preserve">https://www.coindesk.com/business/2026/07/20/cross-chain-protocol-allbridge-halts-after-usd1-65-million-flash-loan-exploit</t>
  </si>
  <si>
    <t xml:space="preserve">Economic-State Manipulation (ESM)</t>
  </si>
  <si>
    <t xml:space="preserve">FD-4 Execution</t>
  </si>
  <si>
    <t xml:space="preserve">The attacker used borrowed capital within a single transaction to break the pool's internal virtual-balance math, mispricing USDT against USDC, and then extracted an outsized withdrawal before repaying the loan. The object being manipulated is the bridge's economic state, its pool balances and the internal pricing derived from them; the flash loan is only the capital source that made the manipulation affordable, not the vulnerability itself. Distorting the economic state a bridge relies on to price or authorize a release, and extracting value from that distortion, is the Economic-State Manipulation pattern, and for this we have mapped it to Economic-State Manipulation (ESM). The manipulated pricing logic lives inside the function that actually executes withdrawals against pool reserves, so for this we have mapped it to FD-4 Execution.</t>
  </si>
  <si>
    <t xml:space="preserve">BR-009</t>
  </si>
  <si>
    <t xml:space="preserve">Across Protocol (Solana relayer)</t>
  </si>
  <si>
    <t xml:space="preserve">~$4.5M paid out of ~$41.7M attempted</t>
  </si>
  <si>
    <t xml:space="preserve">Amount actually paid out; ~$41.7M attempted but not realised excluded.</t>
  </si>
  <si>
    <t xml:space="preserve">A bug in off-chain relayer software, not in any on-chain contract. Across's Solana relayer trusted any inner instruction addressed through a specific program authority as a genuine "deposit" event, without checking a required 8-byte Anchor "event discriminator" that distinguishes real events from lookalikes. The attacker deployed a wrapper program that called a harmless read-only function while smuggling in 1,627 completely fabricated deposit events — no real funds ever moved on Solana — and the relayer paid out real capital against 581 of these phantom deposits before the hole was patched roughly 5 hours later.</t>
  </si>
  <si>
    <t xml:space="preserve">https://github.com/across-protocol/sdk/commit/2e2f9d9d1f9efdd48866bd04e27efadedc548142</t>
  </si>
  <si>
    <t xml:space="preserve">https://www.gate.com/news/detail/across-solana-relayer-lost-45m-in-forged-deposit-attack-on-july-17-22917844</t>
  </si>
  <si>
    <t xml:space="preserve">https://www.panews.io/articles/019f973d-a5ad-763c-b84f-6759531a170e</t>
  </si>
  <si>
    <t xml:space="preserve">FD-2 Relay</t>
  </si>
  <si>
    <t xml:space="preserve">The relayer paid out against 1,627 completely fabricated deposit events from a rogue program, having skipped the discriminator check that would have proven those events came from the real deposit program. Fabricated events accepted as genuine bridge activity is the Event Injection pattern, and for this we have mapped it to Event Injection (EI). The bug lived specifically in the off-chain relayer's own event validation code, not in how the source contract emits deposit events, so for this we have mapped it to FD-2 Relay rather than FD-1 Deposit.</t>
  </si>
  <si>
    <t xml:space="preserve">Official artefact is the protocol's own fix commit (SDK repository) rather than a written post-mortem.</t>
  </si>
  <si>
    <t xml:space="preserve">BR-010</t>
  </si>
  <si>
    <t xml:space="preserve">TeleSwap (Bitcoin bridge)</t>
  </si>
  <si>
    <t xml:space="preserve">~$735K</t>
  </si>
  <si>
    <t xml:space="preserve">A SPV-based Bitcoin↔EVM bridge whose Bitcoin-side hot wallet was drained through unspecified suspicious outflows (root cause not publicly disclosed by the team even days later). Stolen BTC was swapped to ETH via Chainflip and laundered through Tornado Cash.</t>
  </si>
  <si>
    <t xml:space="preserve">https://indagolabs.eu/news/tracing-the-teleswap-exploit-deanonymizing-tornado-cash-outflows-with-our-tool-multichain-detective/</t>
  </si>
  <si>
    <t xml:space="preserve">https://hacked.slowmist.io/?c=Bridge&amp;page=1</t>
  </si>
  <si>
    <t xml:space="preserve">https://www.panews.io/articles/019f7ff7-69eb-72dd-84c5-2fadae2a43e9</t>
  </si>
  <si>
    <t xml:space="preserve">E4</t>
  </si>
  <si>
    <t xml:space="preserve">The loss pattern, a Bitcoin-side hot wallet drained through unexplained outflows, matches a private key or hot wallet compromise rather than a smart-contract bug, since no on-chain logic flaw has been identified or disclosed. Funds moving out through a compromised custody credential rather than an exploited contract function is the Credential Seizure pattern, and for this we have mapped it to Credential Seizure (CS). Hot-wallet key custody is an off-chain operational control asset, so for this we have mapped it to FD-5 Governance &amp; Operations.</t>
  </si>
  <si>
    <t xml:space="preserve">Root cause not publicly disclosed; CS/FD-5 classification is inferred from on-chain outflow behaviour. Re-check if a post-mortem is published.</t>
  </si>
  <si>
    <t xml:space="preserve">BR-011</t>
  </si>
  <si>
    <t xml:space="preserve">Verus-Ethereum Bridge</t>
  </si>
  <si>
    <t xml:space="preserve">~$11.4–11.58M</t>
  </si>
  <si>
    <t xml:space="preserve">Reported range $11.4–11.58M; conservative lower bound used.</t>
  </si>
  <si>
    <t xml:space="preserve">A missing validation check in the bridge's import/export verification function (checkExportAndTransfers/submitImports), which confirmed a transfer hash existed but never verified the value was actually backed by locked assets on the Verus source chain. The attacker triggered unbacked Ethereum-side payouts with nothing collateralizing them on the source side</t>
  </si>
  <si>
    <t xml:space="preserve">https://www.halborn.com/blog/post/explained-the-verus-ethereum-bridge-hack-may-2026</t>
  </si>
  <si>
    <t xml:space="preserve">https://cryptopotato.com/hacker-steals-over-11m-from-verus-ethereum-bridge/</t>
  </si>
  <si>
    <t xml:space="preserve">https://web.archive.org/web/20260518134150/https://www.theblock.co/post/401571/verus-ethereum-bridge-exploit</t>
  </si>
  <si>
    <t xml:space="preserve">checkExportAndTransfers and submitImports confirmed a transfer hash existed but never verified the value was backed by locked assets on the source chain, so an unbacked claim passed verification. Passing an unbacked claim through the verification gate is Proof Forgery, and for this we have mapped it to Proof Forgery (PF). The missing check sits directly inside the bridge's import and export verification function, so for this we have mapped it to FD-3 Verification.</t>
  </si>
  <si>
    <t xml:space="preserve">BR-012</t>
  </si>
  <si>
    <t xml:space="preserve">THORChain</t>
  </si>
  <si>
    <t xml:space="preserve">$10.7M</t>
  </si>
  <si>
    <t xml:space="preserve">Not a smart-contract bug at all — a cryptographic attack on THORChain's threshold signature scheme (GG20/TSS), which is supposed to ensure no single validator ever holds a full vault private key. A newly-joined malicious validator registered a deliberately malformed cryptographic key (missing a soundness check THORChain's library should have enforced) and, over two days of normal signing activity, harvested leaked fragments of other validators' key shares until they could reconstruct the entire vault's private key and sign an unauthorized withdrawal directly.</t>
  </si>
  <si>
    <t xml:space="preserve">https://blog.thorchain.org/thorchain-exploit-report-1</t>
  </si>
  <si>
    <t xml:space="preserve">https://www.quillaudits.com/blog/hack-analysis/thorchain-gg20-hack</t>
  </si>
  <si>
    <t xml:space="preserve">https://blog.thorchain.org/thorchain-exploit-report-2</t>
  </si>
  <si>
    <t xml:space="preserve">However unusual the method, the end result was the same as a stolen key. The attacker reconstructed a validator vault's actual private key by harvesting leaked key-share fragments over two days, then used that genuine key to sign an unauthorized withdrawal directly. Signing with a real, if illegitimately obtained, private key is the Credential Seizure pattern, and for this we have mapped it to Credential Seizure (CS). A reconstructed signing key is still a signing credential, the persistent control-plane asset this domain covers, so for this we have mapped it to FD-5 Governance &amp; Operations.</t>
  </si>
  <si>
    <t xml:space="preserve">BR-013</t>
  </si>
  <si>
    <t xml:space="preserve">ZetaChain</t>
  </si>
  <si>
    <t xml:space="preserve">~$334K (internal wallets only)</t>
  </si>
  <si>
    <t xml:space="preserve">Three chained weaknesses in ZetaChain's GatewayEVM cross-chain messaging contract: (1) the sending side allowed anyone to trigger arbitrary cross-chain calls with no access control, (2) the receiving side would execute almost any instruction including transferFrom, and (3) some wallets had granted the gateway unlimited token approvals that were never revoked. The attacker chained all three to drain internal team wallets (no user funds affected) across four chains.</t>
  </si>
  <si>
    <t xml:space="preserve">https://www.theblock.co/post/399315/zetachain-post-mortem</t>
  </si>
  <si>
    <t xml:space="preserve">https://blog.solidityscan.com/zetachain-gateway-hack-analysis/</t>
  </si>
  <si>
    <t xml:space="preserve">https://www.cryptotimes.io/2026/04/29/how-a-perfect-storm-of-3-bugs-led-to-zetachains-333k-gatewayevm-exploit/</t>
  </si>
  <si>
    <t xml:space="preserve">Logic Exploitation (LE)</t>
  </si>
  <si>
    <t xml:space="preserve">The root cause is a chain of missing access-control and input-validation checks in the GatewayEVM contract's own code. The contract did exactly what it was coded to do, it just never should have allowed an arbitrary instruction like transferFrom to be triggered this way. A structural coding flaw exploited by using the contract exactly as designed is the Logic Exploitation pattern, and for this we have mapped it to Logic Exploitation (LE). The flaw is in the destination-side function that actually executes the incoming cross-chain instruction, so for this we have mapped it to FD-4 Execution.</t>
  </si>
  <si>
    <t xml:space="preserve">Wallet funds drained (approvals or redirection)</t>
  </si>
  <si>
    <t xml:space="preserve">BR-014</t>
  </si>
  <si>
    <t xml:space="preserve">Kelp DAO / LayerZero</t>
  </si>
  <si>
    <t xml:space="preserve">~$292M drained + ~$236M recycled through lending protocols</t>
  </si>
  <si>
    <t xml:space="preserve">Bridge drain only; ~$236M subsequently borrowed on lending protocols is downstream (non-bridge) impact and excluded.</t>
  </si>
  <si>
    <t xml:space="preserve">The largest 2026 incident. An attacker compromised the trust assumptions behind LayerZero's off-chain Decentralized Verifier Network (DVN) — via RPC-layer poisoning — to forge a cross-chain proof and mint 116,500 fake rsETH out of nothing. They then used that fake collateral across Aave, Compound, and Euler to borrow ~$236M in real assets before anyone could react, triggering a bad-debt crisis across multiple lending protocols and chains</t>
  </si>
  <si>
    <t xml:space="preserve">https://layerzero.network/publications/kelpdao-incident-report.pdf</t>
  </si>
  <si>
    <t xml:space="preserve">https://www.halborn.com/blog/post/explained-the-kelp-dao-hack-april-2026</t>
  </si>
  <si>
    <t xml:space="preserve">https://www.chainalysis.com/blog/kelpdao-bridge-exploit-april-2026/</t>
  </si>
  <si>
    <t xml:space="preserve">The attacker compromised LayerZero's off-chain DVN verification layer to forge a cryptographically valid-looking cross-chain proof and mint fake rsETH with no genuine deposit behind it. Forging a valid-looking proof to obtain an unbacked release is the textbook Proof Forgery pattern, and for this we have mapped it to Proof Forgery (PF). The DVN is the component whose entire job is to verify that a claimed cross-chain state transition really happened, so for this we have mapped it to FD-3 Verification.</t>
  </si>
  <si>
    <t xml:space="preserve">Exploited component is LayerZero DVN verification of the rsETH bridge route; lending-market contagion is out of scope.</t>
  </si>
  <si>
    <t xml:space="preserve">RPC poisoning</t>
  </si>
  <si>
    <t xml:space="preserve">Infrastructure Hijacking (IH)</t>
  </si>
  <si>
    <t xml:space="preserve">Value of unbacked minted assets</t>
  </si>
  <si>
    <t xml:space="preserve">BR-015</t>
  </si>
  <si>
    <t xml:space="preserve">Hyperbridge / Polkadot (DOT)</t>
  </si>
  <si>
    <t xml:space="preserve">$2.5 Million</t>
  </si>
  <si>
    <t xml:space="preserve">Proof Verification Flaw: Attacker exploited proof verification logic to forge cross-chain messages and mint 1 billion DOT on Ethereum.</t>
  </si>
  <si>
    <t xml:space="preserve">https://blog.hyperbridge.network/april-13-post-mortem/</t>
  </si>
  <si>
    <t xml:space="preserve">https://coinmarketcap.com/academy/article/hyperbridge-exploit-mints-1b-dot-tokens-in-attack-certik-reports</t>
  </si>
  <si>
    <t xml:space="preserve">https://anomly.rs/hyperbridge-forged-postrequest</t>
  </si>
  <si>
    <t xml:space="preserve">The attacker exploited the bridge's proof verification logic directly to forge cross-chain messages that let them mint 1 billion DOT with no genuine deposit on the source side. Exploiting the verification logic itself to forge a message is Proof Forgery, and for this we have mapped it to Proof Forgery (PF). The exploited function is the one responsible for confirming that a minting message is backed by a real cross-chain transfer, so for this we have mapped it to FD-3 Verification.</t>
  </si>
  <si>
    <t xml:space="preserve">Reported figure; basis not specified</t>
  </si>
  <si>
    <t xml:space="preserve">BR-016</t>
  </si>
  <si>
    <t xml:space="preserve">Messina Bridge (Opulous/OPUL)</t>
  </si>
  <si>
    <t xml:space="preserve">$47.5 Million</t>
  </si>
  <si>
    <t xml:space="preserve">~475 million OPUL drained. A signature-replay/multiplication flaw in the bridge's hop() function. Messina's Guardian network signs any valid on-chain event without checking business logic. The hop() function let an attacker take one legitimately-signed cross-chain approval (VAA) and repeatedly feed it back into hop() to mint a new legitimately-signed VAA for the same underlying deposit — over and over, multiplying one deposit into 143 valid claims. Each was cashed out on a different chain, draining escrow across Arbitrum, Ethereum, and BSC and collapsing the OPUL token to the point the project shut down entirely</t>
  </si>
  <si>
    <t xml:space="preserve">https://opulous.org/hack-report</t>
  </si>
  <si>
    <t xml:space="preserve">E3</t>
  </si>
  <si>
    <t xml:space="preserve">The Guardians' signatures on each VAA were completely genuine. The bug was that hop() never marked a used VAA as spent, so the same real approval could be replayed to mint new valid claims 143 times over. A missing state-invalidation check exploited by reusing the contract's own logic as written is Logic Exploitation, and for this we have mapped it to Logic Exploitation (LE). The missing check lives in the function that executes each cross-chain hop or claim, not in the signature verification step itself, so for this we have mapped it to FD-4 Execution.</t>
  </si>
  <si>
    <t xml:space="preserve">Single official source (project hack report); satisfies the official post-mortem rule.</t>
  </si>
  <si>
    <t xml:space="preserve">BR-017</t>
  </si>
  <si>
    <t xml:space="preserve">IoTeX (ioTube)</t>
  </si>
  <si>
    <t xml:space="preserve">$4.3 Million</t>
  </si>
  <si>
    <t xml:space="preserve">Key Compromise: Unauthorized access to the private key managing the Validator contract on the Ethereum side.</t>
  </si>
  <si>
    <t xml:space="preserve">https://iotex.io/blog/security-incident-update-iotube-bridge-exploit-and-recovery-roadmap/</t>
  </si>
  <si>
    <t xml:space="preserve">The attacker gained unauthorized access to the private key controlling the Ethereum-side Validator contract and used it directly to mint and move funds. Using a stolen private key to authorize the action is the Credential Seizure pattern, and for this we have mapped it to Credential Seizure (CS). That validator key is a persistent administrative credential, not a one-off transaction bug, so for this we have mapped it to FD-5 Governance &amp; Operations.</t>
  </si>
  <si>
    <t xml:space="preserve">Single official source (project incident update); satisfies the official post-mortem rule.</t>
  </si>
  <si>
    <t xml:space="preserve">BR-018</t>
  </si>
  <si>
    <t xml:space="preserve">CrossCurve</t>
  </si>
  <si>
    <t xml:space="preserve">$3 Million</t>
  </si>
  <si>
    <t xml:space="preserve">Validation Flaw: Bugs in processing cross-chain messages from Axelar allowed forged messages to authorize fund releases without real deposits. A missing access-control check in a cross-chain messaging integration. CrossCurve's ReceiverAxelar contract inherited a function called expressExecute() from the Axelar SDK but never added the validation that normally confirms a message actually came through Axelar's Gateway. The only check left was "has this command ID been used before" — trivially bypassed by generating a fresh, unused ID. The attacker forged a cross-chain message claiming to be a legitimate unlock instruction and drained PortalV2 escrow contracts on both Ethereum and Arbitrum.</t>
  </si>
  <si>
    <t xml:space="preserve">https://crosscurve.medium.com/faq-user-questions-following-the-crosscurve-bridge-exploit-84c7dcc7a64b</t>
  </si>
  <si>
    <t xml:space="preserve">https://cantina.xyz/blog/crosscurve-bridge-hack-axelar-expressexecute</t>
  </si>
  <si>
    <t xml:space="preserve">https://www.halborn.com/blog/post/explained-the-crosscurve-hack-february-2026</t>
  </si>
  <si>
    <t xml:space="preserve">The missing access-control check meant the destination contract would accept any freshly generated message as a legitimate Axelar-relayed instruction. The attacker forged an unlock message that was never actually verified against Axelar's Gateway. Forging a message that slips past a broken verification check is Proof Forgery, and for this we have mapped it to Proof Forgery (PF). The missing check sat directly inside the function responsible for validating that an incoming cross-chain message is authentic, so for this we have mapped it to FD-3 Verification.</t>
  </si>
  <si>
    <t xml:space="preserve">BR-019</t>
  </si>
  <si>
    <t xml:space="preserve">Saga (SagaEVM)</t>
  </si>
  <si>
    <t xml:space="preserve">$7 Million</t>
  </si>
  <si>
    <t xml:space="preserve">Message Spoofing: Attackers crafted custom IBC (Inter-Blockchain Communication) message payloads to bypass collateral verification in the ICS20 precompile bridge, minting Saga Dollar (DUSD) stablecoins with no real cross-chain collateral behind them.</t>
  </si>
  <si>
    <t xml:space="preserve">https://www.halborn.com/blog/post/explained-the-sagaevm-hack-january-2026</t>
  </si>
  <si>
    <t xml:space="preserve">https://www.theblock.co/post/386638/sagaevm-suffers-exploit</t>
  </si>
  <si>
    <t xml:space="preserve">The attacker crafted a custom IBC message specifically to bypass the collateral verification check in the ICS20 precompile, letting the bridge accept a forged proof of backing that didn't exist. Crafting a message specifically to bypass a verification check is Proof Forgery, and for this we have mapped it to Proof Forgery (PF). The collateral check that was bypassed is the bridge's core verification gate for minting, so for this we have mapped it to FD-3 Verification.</t>
  </si>
  <si>
    <t xml:space="preserve">Second independent source (The Block) added to satisfy the evidence rule.</t>
  </si>
  <si>
    <t xml:space="preserve">BR-020</t>
  </si>
  <si>
    <t xml:space="preserve">402bridge</t>
  </si>
  <si>
    <t xml:space="preserve">$17,693</t>
  </si>
  <si>
    <t xml:space="preserve">A leaked admin key stored insecurely on an internet-connected server. The x402 payment/bridge protocol needed an admin private key on its backend to process minting requests — and that key sat on a networked server rather than in cold/secure storage. Once leaked, an attacker transferred contract ownership to themselves and called an internal transferUserToken function to drain USDC from over 200 wallets that had granted the contract unlimited token approvals.</t>
  </si>
  <si>
    <t xml:space="preserve">https://www.cryptotimes.io/2025/10/28/402bridge-exploited-for-17k-in-private-key-leak-amid-x402-trend/</t>
  </si>
  <si>
    <t xml:space="preserve">https://crypto.news/402bridge-hack-leads-to-over-200-users-drained-of-usdc/</t>
  </si>
  <si>
    <t xml:space="preserve">https://www.bitget.com/news/detail/12560605057036</t>
  </si>
  <si>
    <t xml:space="preserve">A leaked admin private key let the attacker transfer contract ownership to themselves and call a privileged internal function directly. No contract logic was tricked, the admin credential itself was stolen. A stolen administrative credential used to seize ownership and call privileged functions is Credential Seizure, and for this we have mapped it to Credential Seizure (CS). An admin key with ownership transfer rights is a core piece of the bridge's governance and operational control, so for this we have mapped it to FD-5 Governance &amp; Operations.</t>
  </si>
  <si>
    <t xml:space="preserve">BR-021</t>
  </si>
  <si>
    <t xml:space="preserve">GriffinAI (GAIN token, LayerZero bridge)</t>
  </si>
  <si>
    <t xml:space="preserve">~$3 Million</t>
  </si>
  <si>
    <t xml:space="preserve">An admin EOA compromise combined with a LayerZero peer-trust bypass. Less than 24 hours after GAIN's Binance Alpha launch, an attacker compromised an admin wallet on BNB Chain (likely via phishing) and called setPeer, designating a malicious Ethereum contract as a trusted LayerZero peer for the real GAIN OFT contract. The attacker deployed a fake token on Ethereum and "bridged" 5 billion of it through the now-poisoned peer connection — LayerZero's messaging faithfully relayed the mint instruction, and the legitimate BNB Chain GAIN contract minted 5 billion real GAIN tokens against nothing. The attacker sold ~2.8% on PancakeSwap for ~$3M before the token collapsed 90%; proceeds were laundered through deBridge and Tornado Cash.</t>
  </si>
  <si>
    <t xml:space="preserve">https://www.quillaudits.com/blog/hack-analysis/griffin-ai-exploit</t>
  </si>
  <si>
    <t xml:space="preserve">https://blog.verichains.io/p/deep-dive-into-the-gain-project-incident</t>
  </si>
  <si>
    <t xml:space="preserve">https://rekt.news/griffinai-rekt</t>
  </si>
  <si>
    <t xml:space="preserve">Once the admin wallet was compromised, the attacker's real move was to make a malicious contract a trusted LayerZero peer and then forge a bridge message from that fake peer, the same seize the verifier then forge the message pattern as The Sandbox. Forging a bridge message through a hijacked trust relationship to mint unbacked tokens is Proof Forgery, and for this we have mapped it to Proof Forgery (PF). Peer trust is exactly the mechanism LayerZero uses to verify that an incoming message is legitimate, so for this we have mapped it to FD-3 Verification.</t>
  </si>
  <si>
    <t xml:space="preserve">Phishing (suspected)</t>
  </si>
  <si>
    <t xml:space="preserve">Real assets obtained with unbacked tokens</t>
  </si>
  <si>
    <t xml:space="preserve">BR-022</t>
  </si>
  <si>
    <t xml:space="preserve">Seedify SFUND Bridge</t>
  </si>
  <si>
    <t xml:space="preserve">$1.2 million</t>
  </si>
  <si>
    <t xml:space="preserve">A compromised developer key on a bridge contract that should never have allowed unbacked minting. Attackers (linked to North Korea's Lazarus Group) obtained a Seedify developer's private key and used it to alter permissions on the LayerZero-based OFT bridge contract, minting large amounts of SFUND on Avalanche with nothing actually bridged from another chain, then dumped the fake tokens across Ethereum, Arbitrum, Base, and finally BNB Chain.</t>
  </si>
  <si>
    <t xml:space="preserve">https://decrypt.co/341076/north-korean-hackers-drain-1-2m-from-seedify-bridge</t>
  </si>
  <si>
    <t xml:space="preserve">https://crypto.news/seedifys-sfund-implodes-99-dprk-hackers-exploit-bridge-flaw/</t>
  </si>
  <si>
    <t xml:space="preserve">https://games.gg/news/seedify-suffers-breach/</t>
  </si>
  <si>
    <t xml:space="preserve">A compromised developer private key was used directly to alter bridge contract permissions and authorize unbacked minting. The credential, not the code, was the point of failure. A stolen developer credential used directly to authorize minting is Credential Seizure, and for this we have mapped it to Credential Seizure (CS). Developer and admin keys with permission altering power sit squarely in the governance and operations domain, so for this we have mapped it to FD-5 Governance &amp; Operations.</t>
  </si>
  <si>
    <t xml:space="preserve">BR-023</t>
  </si>
  <si>
    <t xml:space="preserve">Yala (Bitcoin-collateralized stablecoin bridge)</t>
  </si>
  <si>
    <t xml:space="preserve">~$7.64 Million</t>
  </si>
  <si>
    <t xml:space="preserve">A compromised temporary deployment key, not a smart-contract bug. An attacker obtained a temporary key meant for an authorized bridge deployment and used it to stand up an entirely unauthorized cross-chain bridge of their own. Through that rogue bridge, they overissued ~30 million YU tokens on Solana with nothing backing them, then drained ~7.64 million USDC (~1,636 ETH) through the withdrawal path — depegging YU to $0.20 before the team burned the illegitimate supply and injected $5.5M to restore the peg. Core protocol contracts and Bitcoin reserves were untouched; Bangkok police arrested the suspect on October 29, 2025.</t>
  </si>
  <si>
    <t xml:space="preserve">https://www.halborn.com/blog/post/explained-the-yala-hack-september-2025</t>
  </si>
  <si>
    <t xml:space="preserve">https://www.bitget.com/news/detail/12560604970177</t>
  </si>
  <si>
    <t xml:space="preserve">https://quadrigainitiative.com/casestudy/yalaprotocoldormantoftuunauthorizedmintandbridge.php</t>
  </si>
  <si>
    <t xml:space="preserve">A compromised temporary deployment key gave the attacker the same standing as an authorized deployer, letting them stand up and operate their own unauthorized bridge instance. A stolen deployment credential used to gain standing equivalent to an authorized operator is Credential Seizure, and for this we have mapped it to Credential Seizure (CS). Deployment and admin credentials are part of the bridge's operational control plane, so for this we have mapped it to FD-5 Governance &amp; Operations.</t>
  </si>
  <si>
    <t xml:space="preserve">BR-024</t>
  </si>
  <si>
    <t xml:space="preserve">Shibarium Bridge</t>
  </si>
  <si>
    <t xml:space="preserve">$2.4 Million</t>
  </si>
  <si>
    <t xml:space="preserve">Signature Manipulation: Combined flash-loan and manipulated validator signatures to bypass proper collateralization. A flash-loan-powered validator takeover. Shibarium's bridge needed a two-thirds validator majority (8 of 12) to approve state checkpoints. The attacker flash-borrowed 4.6 million BONE tokens, delegated them to a compromised validator, and briefly pushed their controlled stake past the two-thirds threshold — enough to sign a fraudulent checkpoint and authorize a bogus bridge withdrawal of ETH and SHIB, all within a single block, repaying the flash loan with the stolen funds.</t>
  </si>
  <si>
    <t xml:space="preserve">https://news.shib.io/2025/09/22/shibarium-bridge-exploit-kaal-drops-latest-dev-report-post-hack/</t>
  </si>
  <si>
    <t xml:space="preserve">https://www.theblock.co/post/370536/shibarium-bridge-suffers-sophisticated-flash-loan-attack-with-2-4-million-drained</t>
  </si>
  <si>
    <t xml:space="preserve">https://cryptonews.com/news/shibarium-reboots-after-4m-hack-pledges-user-refunds-heres-the-plan/</t>
  </si>
  <si>
    <t xml:space="preserve">The attacker used flash-loaned BONE to temporarily inflate delegated stake past the two-thirds validator signing threshold within one block, pushed through a fraudulent checkpoint and withdrawal, and repaid the loan from the proceeds. The object being manipulated is the bridge's economic security state, the stake distribution that decides who may sign checkpoints; the flash loan only supplied the temporary capital. Distorting the economic state that a bridge's authorization depends on, and extracting value from that distortion, is the Economic-State Manipulation pattern, and for this we have mapped it to Economic-State Manipulation (ESM). The manipulated stake threshold directly gates the function that executes the withdrawal, so for this we have mapped it to FD-4 Execution.</t>
  </si>
  <si>
    <t xml:space="preserve">Flash loan; compromised validator</t>
  </si>
  <si>
    <t xml:space="preserve">BR-025</t>
  </si>
  <si>
    <t xml:space="preserve">ZKSwap Ethereum Bridge</t>
  </si>
  <si>
    <t xml:space="preserve">$5 million</t>
  </si>
  <si>
    <t xml:space="preserve">A broken proof-verification function. ZKSwap's emergency "Exodus Mode" (meant to let users self-withdraw if operators go offline) relied on a verifyExitProof() function that always returned true instead of actually checking the cryptographic proof. The attacker submitted completely fabricated withdrawal proofs, which were accepted as genuine, then exploited weak duplicate-claim logic to repeat the trick across multiple token balances before withdrawing.</t>
  </si>
  <si>
    <t xml:space="preserve">https://www.blockaid.io/blog/how-zkswaps-5m-exploit-couldve-been-prevented-with-onchain-monitoring</t>
  </si>
  <si>
    <t xml:space="preserve">https://blog.verichains.io/p/audit-the-deployment-not-just-the</t>
  </si>
  <si>
    <t xml:space="preserve">https://quadrigainitiative.com/casestudy/zkswapexodusmodeflawenabledfakeproofwithdrawals.php</t>
  </si>
  <si>
    <t xml:space="preserve">verifyExitProof() was hardcoded to always return true instead of actually checking the submitted cryptographic proof, so completely fabricated withdrawal proofs passed verification. A proof-verification function that accepts fabricated proofs is the defining case of Proof Forgery, and for this we have mapped it to Proof Forgery (PF). verifyExitProof() is, by name and function, the bridge's proof verification checkpoint, so for this we have mapped it to FD-3 Verification.</t>
  </si>
  <si>
    <t xml:space="preserve">BR-026</t>
  </si>
  <si>
    <t xml:space="preserve">Router Protocol</t>
  </si>
  <si>
    <t xml:space="preserve">$1.1 million</t>
  </si>
  <si>
    <t xml:space="preserve">A logic flaw in Router Chain's custom cross-chain messaging module. The system failed to check that RequestSender == TxSender, letting the attacker spoof the sender field on an outbound request. The bridge's orchestrators unknowingly signed the forged request, and the Ethereum-side gateway contract released funds trusting that spoofed sender field.</t>
  </si>
  <si>
    <t xml:space="preserve">https://routerprotocol.medium.com/incident-report-router-protocol-asset-bridge-exploit-and-response-833f5bb95a31</t>
  </si>
  <si>
    <t xml:space="preserve">The bug is a missing equality check between RequestSender and TxSender in Router Chain's own messaging code, a straightforward coding omission that let a spoofed field slip through untouched logic. A plain missing-check coding defect, rather than a cryptographic or event-level forgery, is the Logic Exploitation pattern, and for this we have mapped it to Logic Exploitation (LE). The flaw sits inside the cross-chain messaging and orchestration module that relays and attests requests between chains, so for this we have mapped it to FD-2 Relay rather than FD-1 Deposit or FD-4 Execution.</t>
  </si>
  <si>
    <t xml:space="preserve">Single official source (project incident report); satisfies the official post-mortem rule.</t>
  </si>
  <si>
    <t xml:space="preserve">BR-027</t>
  </si>
  <si>
    <t xml:space="preserve">Force Bridge</t>
  </si>
  <si>
    <t xml:space="preserve">$3.76 Million</t>
  </si>
  <si>
    <t xml:space="preserve">Access Control: Compromised private keys allowed unauthorized access to critical token swap and withdrawal functions. A supply chain attack, not a smart contract bug. Attackers slipped malicious code into a Docker image deployed to validator nodes during an April system upgrade, which secretly exfiltrated validator private keys over encrypted channels. Weeks later, they used those stolen keys to push through fraudulent "unlock" transactions on Ethereum and BNB Chain, draining ETH, USDT, USDC, DAI, and WBTC</t>
  </si>
  <si>
    <t xml:space="preserve">https://talk.nervos.org/t/force-bridge-incident-root-cause-analysis-user-commitment/8801</t>
  </si>
  <si>
    <t xml:space="preserve">https://thedefiant.io/news/hacks/nervos-networks-force-bridge-cross-chain-hack-exploits-access-control-steals-3-9-26adcaf3</t>
  </si>
  <si>
    <t xml:space="preserve">https://talk.nervos.org/t/force-bridge-user-compensation-plan-announcement/8810</t>
  </si>
  <si>
    <t xml:space="preserve">The attacker's entry point was the CI/CD deployment pipeline itself, malicious code was slipped into a Docker image pushed to validator nodes during a routine system upgrade, and that code exfiltrated validator private keys as a side effect. Compromising the software supply chain and build pipeline to inject malicious capability, rather than directly targeting an individual's key through phishing, is the Infrastructure Hijacking pattern, and for this we have mapped it to Infrastructure Hijacking (IH). CI/CD pipelines and deployment infrastructure are explicitly part of the supporting off-chain infrastructure this domain covers, so for this we have mapped it to FD-5 Governance &amp; Operations.</t>
  </si>
  <si>
    <t xml:space="preserve">Validator key exfiltration</t>
  </si>
  <si>
    <t xml:space="preserve">BR-028</t>
  </si>
  <si>
    <t xml:space="preserve">FEG Token Bridge (SmartBridge)</t>
  </si>
  <si>
    <t xml:space="preserve">$1.3 Million</t>
  </si>
  <si>
    <t xml:space="preserve">FEG's SmartBridge relies on Wormhole to carry cross-chain messages, and only its relayer contract is allowed to register a withdrawal in SmartBridge. That relayer maintains a whitelist of source addresses but lets the whitelist itself be updated via an incoming bridged message, and never checks whether the message doing the updating was actually authorized to do so. The attacker crafted a malicious Wormhole message on one chain that added their own contract to the whitelist, then sent a second message invoking registerWithdraw to credit themselves a withdrawable FEG balance with no matching deposit. The same three-step exploit was repeated across Ethereum, Base, and BSC for a combined ~$1.3M, and the proceeds were swapped to ETH/BNB and sent to Tornado Cash.</t>
  </si>
  <si>
    <t xml:space="preserve">https://www.certik.com/blog/feg-bridge-exploit-technical-analysis</t>
  </si>
  <si>
    <t xml:space="preserve">https://www.halborn.com/blog/post/explained-the-feed-every-gorilla-feg-hack-december-2024</t>
  </si>
  <si>
    <t xml:space="preserve">The FEG Relayer contract received an incoming Wormhole message and registered a withdrawal without ever checking whether the message's source address was actually authorized to trigger that registration, so a malicious message from an unrelated address was processed as if it were a genuine bridge instruction. Accepting a message whose source was never validated as a real, authorized bridge action is the event source validation failure that defines Event Injection, and for this we have mapped it to Event Injection (EI). The missing check lived specifically inside the relayer contract's own message handling code, not in how deposits are emitted on the source chain, so for this we have mapped it to FD-2 Relay.</t>
  </si>
  <si>
    <t xml:space="preserve">BR-029</t>
  </si>
  <si>
    <t xml:space="preserve">Ronin Bridge (2nd incident)</t>
  </si>
  <si>
    <t xml:space="preserve">$12 Million</t>
  </si>
  <si>
    <t xml:space="preserve">Ronin's team upgraded its bridge manager from V2 to V4 and deployed a new MainchainGatewayV3 implementation, but never called the required initializeV3 function. That left the newly introduced _totalOperatorWeight storage variable at its zero default, which silently disabled the minimumVoteWeight check, the safeguard meant to confirm that enough validator weight had signed off before a withdrawal could execute. 48 minutes after the upgrade, an MEV bot spotted that any withdrawal request would now pass this check regardless of signer weight and withdrew 4,000 ETH and $2M USDC; a pre-existing daily withdrawal cap prevented a further ~$72M from being taken, and the funds were returned within hours.</t>
  </si>
  <si>
    <t xml:space="preserve">https://blog.solidityscan.com/ronin-bridge-hack-analysis-d8f64b8fe683/</t>
  </si>
  <si>
    <t xml:space="preserve">https://www.beosin.com/resources/the-root-cause-of-ronin-bridges-abnormal-activities</t>
  </si>
  <si>
    <t xml:space="preserve">The team's contract upgrade never called initializeV3, leaving the _totalOperatorWeight variable at its zero default, so the minimumVoteWeight check silently accepted any withdrawal regardless of how much validator weight actually signed it. The contract executed exactly as coded, it simply never enforced the safeguard it was supposed to, which is the Logic Exploitation pattern, and for this we have mapped it to Logic Exploitation (LE). The disabled minimumVoteWeight parameter is specifically the multi-signature consensus check that is meant to confirm sufficient validator weight approved a withdrawal before it is authorized, so for this we have mapped it to FD-3 Verification.</t>
  </si>
  <si>
    <t xml:space="preserve">BR-030</t>
  </si>
  <si>
    <t xml:space="preserve">Li.Fi (bridge / DEX aggregator)</t>
  </si>
  <si>
    <t xml:space="preserve">~$11.6 Million</t>
  </si>
  <si>
    <t xml:space="preserve">Five days before the attack, LI.FI deployed a new GasZipFacet contract to enable gas refueling during bridging. Its depositToGasZipERC20 function passed a user-supplied _swapData argument straight into LibSwap.swap(), which executes a low-level call using whatever target address and call data it's given. Every other facet in LI.FI's Diamond contract checked that call target against a whitelist of approved DEXs and contracts before executing it, but GasZipFacet was missing that check. The attacker crafted a swapData payload that called transferFrom instead of a genuine swap, draining USDC, USDT, and DAI from any of the 153 wallets on Ethereum and Arbitrum that had granted the LI.FI contract an infinite approval.</t>
  </si>
  <si>
    <t xml:space="preserve">https://li.fi/knowledge-hub/incident-report-16th-july</t>
  </si>
  <si>
    <t xml:space="preserve">https://blocksec.com/blog/illicit-fund-flow-case-study-lifi-attack-metasleuth</t>
  </si>
  <si>
    <t xml:space="preserve">The newly deployed GasZipFacet contract passed attacker-controlled call data straight into LibSwap.swap() without checking it against the whitelist of approved contracts and functions that every other facet enforced, letting the attacker substitute a transferFrom call for a swap. A missing whitelist check in the contract's own call-execution logic, rather than any forged message or stolen key, is the Logic Exploitation pattern, and for this we have mapped it to Logic Exploitation (LE). The unchecked call sits inside the function that actually executes the token movement against approved wallets, so for this we have mapped it to FD-4 Execution.</t>
  </si>
  <si>
    <t xml:space="preserve">Included: exploited GasZipFacet is the aggregator's cross-chain gas-refuel (bridging) facet.</t>
  </si>
  <si>
    <t xml:space="preserve">BR-031</t>
  </si>
  <si>
    <t xml:space="preserve">ALEX Lab (XLink Bridge)</t>
  </si>
  <si>
    <t xml:space="preserve">CertiK traced the incident to a phishing attack that compromised the private key of ALEX's XLink bridge deployer account. Using that key, the attacker pushed several unauthorized proxy upgrades to the Bridge Endpoint contract on BNB Smart Chain and to the corresponding contract on the Stacks/Bitcoin side, redirecting the bridge's withdrawal logic to a malicious implementation they controlled. The attacker withdrew BTC, USDC, and Sugar Kingdom (SKO) tokens, and attempted a larger withdrawal on BNB Chain, but a bug in their own malicious implementation let a white-hat front-run and secure part of the funds; ALEX later recovered a large share of the total through a 10% bounty negotiation.</t>
  </si>
  <si>
    <t xml:space="preserve">https://cryptoslate.com/bitcoin-defi-app-alex-lab-links-4-million-exploit-to-lazarus-group/</t>
  </si>
  <si>
    <t xml:space="preserve">https://www.certik.com/blog/alex</t>
  </si>
  <si>
    <t xml:space="preserve">https://www.coindesk.com/business/2024/05/15/bitcoin-defi-tool-alex-lab-loses-43m-in-hack-offers-10-bounty-for-stolen-funds</t>
  </si>
  <si>
    <t xml:space="preserve">A phishing attack compromised the deployer's private key, and the attacker used that key directly to push several unauthorized proxy upgrades to the Bridge Endpoint contract, redirecting withdrawals to themselves with no code vulnerability involved. Using a genuinely stolen credential to authorize the action directly is the Credential Seizure pattern, and for this we have mapped it to Credential Seizure (CS). A deployer key with upgrade authority over the bridge contract is a persistent administrative credential, so for this we have mapped it to FD-5 Governance &amp; Operations.</t>
  </si>
  <si>
    <t xml:space="preserve">Phishing</t>
  </si>
  <si>
    <t xml:space="preserve">BR-032</t>
  </si>
  <si>
    <t xml:space="preserve">Pike Finance (1st incident)</t>
  </si>
  <si>
    <t xml:space="preserve">~$299K</t>
  </si>
  <si>
    <t xml:space="preserve">Pike integrated Circle's CCTP (via Gelato automation) to let users mint USDC directly on a destination chain after burning it on a source chain, but responsibility for validating the receiver address and transfer amount inside each incoming CCTP message was left to Pike's own contract rather than Circle's or Gelato's infrastructure. That validation was missing, so the attacker submitted a forged CCTP message with a manipulated recipient address and amount, which Pike's USDC pool accepted as a legitimate mint instruction and paid out against, draining ~$299K across Ethereum, Arbitrum, and Optimism.</t>
  </si>
  <si>
    <t xml:space="preserve">https://mirror.xyz/pikefinance.eth/klLV4rRqNYxjRQp0NAfVLboLYtX98P9iYOOf06FUapg</t>
  </si>
  <si>
    <t xml:space="preserve">https://www.certik.com/blog/pike-finance-incident-analysis</t>
  </si>
  <si>
    <t xml:space="preserve">Pike's own integration was responsible for validating the receiver address and amount inside an incoming CCTP cross-chain message before honoring it, and that validation was missing, so the attacker submitted a forged message with a manipulated recipient and amount that Pike accepted as a legitimate mint instruction. Forging a cross-chain message that passes an inadequate verification check to obtain a fraudulent release is the Proof Forgery pattern, and for this we have mapped it to Proof Forgery (PF). The missing validation sat directly inside the step responsible for confirming that an incoming CCTP message is authentic before funds move, so for this we have mapped it to FD-3 Verification.</t>
  </si>
  <si>
    <t xml:space="preserve">Included: exploited component is Pike's handling of incoming Circle CCTP cross-chain messages.</t>
  </si>
  <si>
    <t xml:space="preserve">BR-033</t>
  </si>
  <si>
    <t xml:space="preserve">XBridge</t>
  </si>
  <si>
    <t xml:space="preserve">~$1.6 Million</t>
  </si>
  <si>
    <t xml:space="preserve">XBridge lets users register a token pair via listToken, which records the caller as that token's _tokenOwner and grants them the right to deposit and withdraw the underlying baseToken as a bridge liquidity provider. The function never checked whether a pair had already been registered by someone else before letting a new caller claim ownership of the same baseToken under a different corresponding token, so the attacker waited for a real liquidity provider to list and fund a pair, then re-called listToken to overwrite themselves in as the new _tokenOwner and called withdrawTokens to drain the liquidity that the original owner had deposited, across Ethereum and BNB Chain.</t>
  </si>
  <si>
    <t xml:space="preserve">https://www.cryptotimes.io/2024/04/24/saitachains-xbridge-experienced-a-security-breach/</t>
  </si>
  <si>
    <t xml:space="preserve">https://blog.verichains.io/p/when-the-bridge-is-the-risk</t>
  </si>
  <si>
    <t xml:space="preserve">https://olympix.security/biweekly-exploits/6m-stolen-alexlab-ngfs-xbridge-and-yiedl-compromised-by-key-theft-and-broken-access-controls</t>
  </si>
  <si>
    <t xml:space="preserve">The listToken function never verified that the caller matched the existing token owner, so the attacker simply re-registered themselves as the owner of a token pair that someone else had already funded, then called withdrawTokens to drain it without ever depositing anything. A missing ownership check in the contract's own registration and withdrawal logic, run exactly as written, is the Logic Exploitation pattern, and for this we have mapped it to Logic Exploitation (LE). The flaw sits in the function that actually releases funds to whoever holds the (falsely claimed) owner role, so for this we have mapped it to FD-4 Execution.</t>
  </si>
  <si>
    <t xml:space="preserve">BR-034</t>
  </si>
  <si>
    <t xml:space="preserve">Socket.tech (Bungee Bridge)</t>
  </si>
  <si>
    <t xml:space="preserve">$3.3 Million</t>
  </si>
  <si>
    <t xml:space="preserve">Three days before the attack, Socket deployed a new route inside its SocketGateway contract. The route's performAction function had incomplete validation of its input parameters, and the attacker used that gap to invoke transfers directly against the token allowances that users had previously granted to SocketGateway, without those users signing any new transaction. 232 wallets that had left infinite approvals in place lost a combined $3.3M across USDC and several other assets before the route was disabled; Socket later recovered ~$2.3M through negotiation and covered the remaining shortfall.</t>
  </si>
  <si>
    <t xml:space="preserve">https://www.certik.com/blog/socket-tech-incident-analysis</t>
  </si>
  <si>
    <t xml:space="preserve">https://thedefiant.io/news/defi/socket-resumes-operations-after-users-lost-usd3-3m-to-exploit</t>
  </si>
  <si>
    <t xml:space="preserve">A newly deployed route's performAction function had incomplete input validation, and the attacker used that gap to invoke transfers directly against any wallet that had granted the SocketGateway contract an unlimited token approval, with no forged message or stolen key involved. A missing input-validation check in the contract's own action-execution logic is the Logic Exploitation pattern, and for this we have mapped it to Logic Exploitation (LE). The vulnerable function is the one that actually executes the token transfer against a user's standing approval, so for this we have mapped it to FD-4 Execution.</t>
  </si>
  <si>
    <t xml:space="preserve">Included: exploited route sits in SocketGateway, the bridge aggregator's cross-chain routing contract.</t>
  </si>
  <si>
    <t xml:space="preserve">BR-035</t>
  </si>
  <si>
    <t xml:space="preserve">Orbit Chain</t>
  </si>
  <si>
    <t xml:space="preserve">$81.5 Million</t>
  </si>
  <si>
    <t xml:space="preserve">Orbit Bridge's Ethereum vault used a 10-signer multisig requiring a threshold of approvals to release funds. The team's own investigation found no smart-contract vulnerability or validator-key theft; instead, 7 of the 10 multisig signers were compromised in what Orbit described as a sophisticated stealth attack, later linked to Lazarus Group by on-chain forensics. Across six transactions in a roughly 33-minute window, the attacker used the compromised keys to authorize withdrawals of ETH, WBTC, USDT, USDC, and DAI, draining over half the bridge's total value locked.</t>
  </si>
  <si>
    <t xml:space="preserve">https://medium.com/orbit-chain/official-statement-regarding-orbit-bridge-exploit-551928f3dc52</t>
  </si>
  <si>
    <t xml:space="preserve">https://quillaudits.substack.com/p/news-years-eve-with-a-big-hack-orbit</t>
  </si>
  <si>
    <t xml:space="preserve">https://www.coindesk.com/business/2024/01/02/orbit-chain-loses-81m-in-cross-chain-bridge-exploit</t>
  </si>
  <si>
    <t xml:space="preserve">Seven of the bridge's ten multisig signers were compromised in what the team described as a sophisticated stealth attack, and the attacker used those genuinely valid keys to authorize withdrawals the contract had no way of distinguishing from legitimate multisig activity. Using real, if illegitimately obtained, signing keys to authorize the transaction is the Credential Seizure pattern, and for this we have mapped it to Credential Seizure (CS). Multisig signer keys are part of the bridge's persistent operational control plane, so for this we have mapped it to FD-5 Governance &amp; Operations.</t>
  </si>
  <si>
    <t xml:space="preserve">BR-036</t>
  </si>
  <si>
    <t xml:space="preserve">HECO Bridge (Heco Chain / HTX)</t>
  </si>
  <si>
    <t xml:space="preserve">$86.8 Million (HECO Bridge only)</t>
  </si>
  <si>
    <t xml:space="preserve">HECO Bridge only; HTX exchange hot-wallet losses (separate attack surface, ~$12.5–30M) excluded. Previously reported combined figure ~$113.3M.</t>
  </si>
  <si>
    <t xml:space="preserve">Key Compromise: The Heco Bridge operator wallet's private key was compromised, letting the attacker directly call the bridge's operator-only withdrawToken function. (HTX's centralized-exchange hot wallets were breached in the same window through a separate credential compromise; that is a different attack surface and its losses are excluded from this record.)</t>
  </si>
  <si>
    <t xml:space="preserve">https://archive.ph/8J9zt</t>
  </si>
  <si>
    <t xml:space="preserve">https://www.certik.com/blog/heco-bridge-exploit</t>
  </si>
  <si>
    <t xml:space="preserve">https://www.coindesk.com/tech/2023/11/22/justin-sun-confirms-htx-heco-chain-exploited-after-100m-in-suspicious-transfers</t>
  </si>
  <si>
    <t xml:space="preserve">The attacker compromised the private key controlling the Heco Bridge's operator wallet and used it to directly call the bridge's operator-only withdrawToken function. Using a genuinely stolen operator credential to authorize a withdrawal the bridge contract had no way of flagging as illegitimate is the Credential Seizure pattern, and for this we have mapped it to Credential Seizure (CS). The compromised operator key is part of the bridge's persistent administrative control plane rather than any single user transaction, so for this we have mapped it to FD-5 Governance &amp; Operations.</t>
  </si>
  <si>
    <t xml:space="preserve">BR-037</t>
  </si>
  <si>
    <t xml:space="preserve">Multichain</t>
  </si>
  <si>
    <t xml:space="preserve">$126 Million</t>
  </si>
  <si>
    <t xml:space="preserve">Centralization Risk: Critical MPC private keys were under the sole control of the CEO; following his detention by Chinese authorities, funds drained from the Fantom, Moonriver, and Dogechain bridge deployments in a pattern consistent with compromised/uncontrolled key material.</t>
  </si>
  <si>
    <t xml:space="preserve">https://www.halborn.com/blog/post/explained-the-multichain-hack-july-2023</t>
  </si>
  <si>
    <t xml:space="preserve">https://www.chainalysis.com/blog/multichain-exploit-july-2023/</t>
  </si>
  <si>
    <t xml:space="preserve">https://onchainattack.org/document/examples/2023-07-multichain/</t>
  </si>
  <si>
    <t xml:space="preserve">Multichain's cross-chain transfers were authorized entirely through MPC key shares held solely on infrastructure controlled by the CEO; once he was detained by Chinese authorities, the team lost access to that key material, and funds subsequently drained from the Fantom, Moonriver, and Dogechain bridge deployments in a pattern consistent with the compromised/uncontrolled keys. Using genuinely compromised signing key material to authorize transfers, rather than exploiting a governance vote or a code flaw, is the Credential Seizure pattern, and for this we have mapped it to Credential Seizure (CS) rather than Governance Manipulation, matching this incident's own classification in the source taxonomy. The MPC signing keys are part of the bridge's persistent operational control plane, so for this we have mapped it to FD-5 Governance &amp; Operations.</t>
  </si>
  <si>
    <t xml:space="preserve">BR-038</t>
  </si>
  <si>
    <t xml:space="preserve">Allbridge</t>
  </si>
  <si>
    <t xml:space="preserve">$0.57 Million</t>
  </si>
  <si>
    <t xml:space="preserve">Withdrawal Accounting Flaw: A logic error in Allbridge Core's liquidity-pool withdrawal formula let an attacker use a flash loan to push the real-stablecoin-to-internal-vUSD ratio far out of alignment on BNB Chain, then extract an outsized payout through the distorted pool.</t>
  </si>
  <si>
    <t xml:space="preserve">https://allbridge.medium.com/allbridge-core-updates-following-the-relaunch-9f7716eeb5da</t>
  </si>
  <si>
    <t xml:space="preserve">https://medium.com/coinmonks/decoding-allbridge-570k-flash-loan-exploit-quillaudits-8da8dccd729d</t>
  </si>
  <si>
    <t xml:space="preserve">https://forklog.com/en/allbridge-co-founder-reveals-real-losses-and-the-attack-vector-on-the-protocol/</t>
  </si>
  <si>
    <t xml:space="preserve">The attacker used a flash loan within a single atomic transaction to push Allbridge Core's real-stablecoin-to-vUSD balance ratio on its BNB Chain pools far out of alignment, then extracted an outsized withdrawal before repaying the loan. The object being manipulated is the bridge's economic state, its pool balances and the internal accounting derived from them; the flash loan is only the capital source. Distorting the economic state a bridge relies on to price a release, and extracting value from that distortion, is the Economic-State Manipulation pattern, and for this we have mapped it to Economic-State Manipulation (ESM). The manipulated balance logic lives inside the function that actually executes pool withdrawals, so for this we have mapped it to FD-4 Execution.</t>
  </si>
  <si>
    <t xml:space="preserve">BR-039</t>
  </si>
  <si>
    <t xml:space="preserve">BNB Chain Token Hub (Binance Bridge)</t>
  </si>
  <si>
    <t xml:space="preserve">$566 Million</t>
  </si>
  <si>
    <t xml:space="preserve">A flaw in the Cosmos IAVL Merkle range-proof verifier used by BSC Token Hub, the native bridge between BNB Beacon Chain and BNB Smart Chain. The hash function ignored an inner node's Right child whenever Left was present, so an attacker could attach arbitrary Right-side data without changing the computed root. That let them forge a valid-looking withdrawal proof for a deposit that never happened and mint 2 million BNB through the CrossChain contract's handlePackage/validateMerkleProof path. BSC validators halted the chain; most of the minted BNB was frozen before it could leave.</t>
  </si>
  <si>
    <t xml:space="preserve">https://www.bnbchain.org/en/blog/bnb-chain-ecosystem-update</t>
  </si>
  <si>
    <t xml:space="preserve">https://www.halborn.com/blog/post/explained-the-bnb-chain-hack-october-2022</t>
  </si>
  <si>
    <t xml:space="preserve">https://www.sharkteam.org/report/analysis/20221009001A_en.pdf</t>
  </si>
  <si>
    <t xml:space="preserve">The attacker submitted a forged IAVL range proof that the destination-side verifier accepted as a genuine Beacon Chain withdrawal, minting 2 million BNB with no matching deposit. A flaw in proof-verification logic that lets an unauthorized value pass as valid is Proof Forgery, and for this we have mapped it to Proof Forgery (PF). validateMerkleProof is the Token Hub's cryptographic check that a claimed cross-chain package is authentic, so for this we have mapped it to FD-3 Verification.</t>
  </si>
  <si>
    <t xml:space="preserve">BR-040</t>
  </si>
  <si>
    <t xml:space="preserve">Celer cBridge</t>
  </si>
  <si>
    <t xml:space="preserve">$0.24 Million</t>
  </si>
  <si>
    <t xml:space="preserve">Reported range ~$235–240K; conservative lower bound used.</t>
  </si>
  <si>
    <t xml:space="preserve">Not a smart-contract or protocol bug. Attackers BGP-hijacked the Amazon-hosted cbridge-prod2.celer.network prefix for about three hours, obtained a valid TLS certificate, and served a phishing frontend that pointed users at malicious lookalike contracts. Those contracts proxied most calls to the real cBridge while draining token approvals. About 32 users lost ~$235K–$240K; locked bridge liquidity was never touched. Celer initially called it DNS hijacking, then SlowMist and Coinbase confirmed BGP route hijacking of the underlying IP prefix.</t>
  </si>
  <si>
    <t xml:space="preserve">https://www.coinbase.com/blog/celer-bridge-incident-analysis</t>
  </si>
  <si>
    <t xml:space="preserve">https://medium.com/coinmonks/truth-behind-the-celer-network-cbridge-cross-chain-bridge-incident-bgp-hijacking-52556227e940</t>
  </si>
  <si>
    <t xml:space="preserve">https://cryptoslate.com/celer-network-cbridge-resumes-operation-after-suffering-dns-exploit/</t>
  </si>
  <si>
    <t xml:space="preserve">The attacker hijacked Internet routing (BGP) for Celer's frontend hostname and served a fake interface that drained user approvals, without touching the bridge contracts or any validator key. Compromising the off-chain operating environment around the bridge, DNS/routing and hosting, is the Infrastructure Hijacking pattern, and for this we have mapped it to Infrastructure Hijacking (IH). Frontend hosting, DNS, and BGP routing are supporting off-chain infrastructure in the persistent control plane, so for this we have mapped it to FD-5 Governance &amp; Operations.</t>
  </si>
  <si>
    <t xml:space="preserve">Included: bridge operator's own frontend/routing infrastructure; bridge contracts and liquidity unaffected.</t>
  </si>
  <si>
    <t xml:space="preserve">BR-041</t>
  </si>
  <si>
    <t xml:space="preserve">Nomad Bridge</t>
  </si>
  <si>
    <t xml:space="preserve">$190 Million</t>
  </si>
  <si>
    <t xml:space="preserve">A June 21, 2022 Replica upgrade changed how process() looks up a message's Merkle root. Unproven messages default to root 0x00, and Replica had been initialized with committedRoot = 0x00, which set confirmAt[bytes32(0)] = 1. That made acceptableRoot(0x00) always return true, so any never-before-processed message skipped proof verification. Once the first exploit transaction was public, hundreds of copy-paste attackers drained the Ethereum/Moonbeam/Evmos bridge in an open free-for-all. Roughly a fifth of funds were later returned by whitehats.</t>
  </si>
  <si>
    <t xml:space="preserve">https://medium.com/nomad-xyz-blog/nomad-bridge-hack-root-cause-analysis-875ad2e5aacd</t>
  </si>
  <si>
    <t xml:space="preserve">https://www.certik.com/blog/nomad-bridge-exploit-incident-analysis</t>
  </si>
  <si>
    <t xml:space="preserve">https://www.halborn.com/blog/post/the-nomad-bridge-hack-a-deeper-dive</t>
  </si>
  <si>
    <t xml:space="preserve">No proof was forged. A contract-initialization and upgrade bug set the trusted root to 0x00, the same default used for unproven messages, so process() treated every fresh message as already verified and executed it exactly as coded. A structural initialization flaw exploited by using the contract as written is the Logic Exploitation pattern, and for this we have mapped it to Logic Exploitation (LE). The broken check is acceptableRoot inside the message-authentication path that is supposed to confirm a root before funds move, so for this we have mapped it to FD-3 Verification.</t>
  </si>
  <si>
    <t xml:space="preserve">BR-042</t>
  </si>
  <si>
    <t xml:space="preserve">Horizon (Harmony)</t>
  </si>
  <si>
    <t xml:space="preserve">$100 Million</t>
  </si>
  <si>
    <t xml:space="preserve">The Horizon Ethereum bridge used a 2-of-5 (effectively 2-of-4 live) validator multisig. Attackers compromised at least two encrypted validator private keys through a coordinated campaign against Harmony's internal infrastructure, including trojan-horse software and a subgraph-package leak that exposed private-cloud server addresses. Starting 11:06 UTC on June 23 they authorized withdrawals of 14 bridged assets on Ethereum and BNB Chain, about $100M. Harmony found no smart-contract bug. The FBI later attributed the theft to Lazarus Group (APT38).</t>
  </si>
  <si>
    <t xml:space="preserve">https://medium.com/harmony-one/summary-of-the-harmony-horizon-bridge-incident-f9bd87c0c68e</t>
  </si>
  <si>
    <t xml:space="preserve">https://www.fbi.gov/news/press-releases/fbi-confirms-lazarus-group-cyber-actors-responsible-for-harmonys-horizon-bridge-currency-theft</t>
  </si>
  <si>
    <t xml:space="preserve">https://medium.com/harmony-one/harmonys-horizon-bridge-hack-1e8d283b6d66</t>
  </si>
  <si>
    <t xml:space="preserve">The attacker obtained enough genuine validator private keys to meet the 2-of-5 signing threshold and authorized withdrawals the bridge contract had no way of distinguishing from legitimate multisig activity. Using stolen signing credentials rather than a code flaw is the Credential Seizure pattern, and for this we have mapped it to Credential Seizure (CS). Validator keys are part of the bridge's persistent operational control plane, so for this we have mapped it to FD-5 Governance &amp; Operations.</t>
  </si>
  <si>
    <t xml:space="preserve">Malware (trojan)</t>
  </si>
  <si>
    <t xml:space="preserve">BR-043</t>
  </si>
  <si>
    <t xml:space="preserve">Ronin Network</t>
  </si>
  <si>
    <t xml:space="preserve">$625 Million</t>
  </si>
  <si>
    <t xml:space="preserve">Sky Mavis's Ronin bridge required 5 of 9 validator signatures to approve a withdrawal. The attacker obtained four Sky Mavis validator keys through a compromised gas-free RPC node / social-engineering path, plus a fifth Axie DAO key that still had an allowlist left over from an earlier scaling arrangement. With quorum, they forged two withdrawal proofs and drained 173,600 ETH and 25.5M USDC on March 23. The theft went unnoticed for six days because large outflows were not monitored. The FBI attributed it to Lazarus Group; Sky Mavis and investors later made users whole.</t>
  </si>
  <si>
    <t xml:space="preserve">https://roninblockchain.substack.com/p/back-to-building-ronin-security-breach</t>
  </si>
  <si>
    <t xml:space="preserve">https://www.halborn.com/blog/post/explained-the-ronin-hack-march-2022</t>
  </si>
  <si>
    <t xml:space="preserve">https://www.reuters.com/technology/blockchain-company-ronin-hit-by-615-million-crypto-heist-2022-03-29/</t>
  </si>
  <si>
    <t xml:space="preserve">The attacker obtained 5 of 9 genuine validator private keys, enough to meet quorum, and used those real signatures to authorize fraudulent withdrawals. Using stolen signing credentials rather than exploiting a contract bug is the Credential Seizure pattern, and for this we have mapped it to Credential Seizure (CS). Validator keys are part of the bridge's persistent operational control plane, so for this we have mapped it to FD-5 Governance &amp; Operations.</t>
  </si>
  <si>
    <t xml:space="preserve">Social engineering</t>
  </si>
  <si>
    <t xml:space="preserve">BR-044</t>
  </si>
  <si>
    <t xml:space="preserve">EVODeFi</t>
  </si>
  <si>
    <t xml:space="preserve">$0.32 Million</t>
  </si>
  <si>
    <t xml:space="preserve">A Vercel hosting/domain-transfer bug let an attacker move EVODeFi's domain to an account they controlled without owner confirmation, then point the bridge frontend at their own destination wallet. Users interacting with the still-familiar UI sent funds to the attacker while the old bridge contract and existing approvals stayed in place. The team cut access in about 40 minutes and began refunds; locked contract liquidity was not drained via a code exploit.</t>
  </si>
  <si>
    <t xml:space="preserve">https://www.prnewswire.com/news-releases/a-bug-in-vercel-allowed-an-attacker-to-drain-320-000-from-evodefi-301506961.html</t>
  </si>
  <si>
    <t xml:space="preserve">https://coincodecap.com/evodefi-bridge-front-end-was-hacked</t>
  </si>
  <si>
    <t xml:space="preserve">https://www.banklesstimes.com/news/2023/01/31/crypto-platform-evodefi-loses-dollar320k-in-hack/</t>
  </si>
  <si>
    <t xml:space="preserve">The attacker compromised the frontend hosting provider (Vercel) and seized the project's domain, then redirected users to a malicious destination wallet without exploiting the bridge contract. Hijacking off-chain hosting and domain infrastructure is the Infrastructure Hijacking pattern, and for this we have mapped it to Infrastructure Hijacking (IH). Frontend hosting and domain control sit in the supporting off-chain infrastructure of the persistent control plane, so for this we have mapped it to FD-5 Governance &amp; Operations.</t>
  </si>
  <si>
    <t xml:space="preserve">Included: bridge operator's own frontend/domain infrastructure; bridge contract unaffected.</t>
  </si>
  <si>
    <t xml:space="preserve">BR-045</t>
  </si>
  <si>
    <t xml:space="preserve">Meter.io (Meter Passport)</t>
  </si>
  <si>
    <t xml:space="preserve">$4.2 Million</t>
  </si>
  <si>
    <t xml:space="preserve">Meter Passport's ERC-20 handler, a modified ChainSafe ChainBridge deposit path, assumed wrapped-native deposits (WETH/WBNB) would be burned or locked before a Deposit event was emitted. A publicly callable deposit() path skipped that check and did not verify msg.value or that the caller actually transferred the wrapped tokens. The attacker called deposit() with an arbitrary amount, obtained genuine Deposit events with no real lock, and withdrew about $4.2M–$4.4M across Ethereum, Moonriver, BSC, and Meter. Hundred Finance on Moonriver took a secondary hit from the depeg.</t>
  </si>
  <si>
    <t xml:space="preserve">https://medium.com/meter-io/post-mortem-report-meter-passport-12af6b50393d</t>
  </si>
  <si>
    <t xml:space="preserve">https://www.halborn.com/blog/post/explained-the-meter-io-hack-february-2022</t>
  </si>
  <si>
    <t xml:space="preserve">https://certik.medium.com/4-3-million-lost-to-another-bridge-hack-db9b028a3c28</t>
  </si>
  <si>
    <t xml:space="preserve">The attacker used a deposit path that emitted a real Deposit event without locking or burning the corresponding wrapped-native tokens, so the relay treated a no-value action as a genuine deposit. A fabricated or unbacked deposit signal accepted as a real bridge event is the Event Injection pattern, and for this we have mapped it to Event Injection (EI). The flaw is in how the source-chain deposit function decides to emit the event that starts the bridge, so for this we have mapped it to FD-1 Deposit.</t>
  </si>
  <si>
    <t xml:space="preserve">BR-046</t>
  </si>
  <si>
    <t xml:space="preserve">Wormhole</t>
  </si>
  <si>
    <t xml:space="preserve">$326 Million</t>
  </si>
  <si>
    <t xml:space="preserve">A Solana toolchain upgrade deprecated load_instruction_at in favor of a checked variant that verifies the instructions sysvar account. Wormhole's core contract still used the unchecked path, so the attacker supplied a fake sysvar account, spoofed a Guardian signature set, and minted 120,000 wETH on Solana with no Ethereum deposit. They bridged 93,750 of those tokens back to Ethereum and withdrew the unwrapped ETH. Jump Crypto recapitalized the vault with 120,000 ETH within about 16 hours.</t>
  </si>
  <si>
    <t xml:space="preserve">https://wormholecrypto.medium.com/wormhole-incident-report-02-02-22-ad9b8f21eec6</t>
  </si>
  <si>
    <t xml:space="preserve">https://www.certik.com/blog/wormhole-bridge-exploit-incident-analysis</t>
  </si>
  <si>
    <t xml:space="preserve">https://blog.chainalysis.com/reports/wormhole-hack-february-2022/</t>
  </si>
  <si>
    <t xml:space="preserve">The attacker forged a Guardian-attested Wormhole message by bypassing Solana-side signature verification with a spoofed sysvar account, then minted 120,000 wETH with no real deposit. Forging a valid-looking proof to obtain an unbacked release is Proof Forgery, and for this we have mapped it to Proof Forgery (PF). The exploited code is the Guardian signature-verification step that is supposed to confirm a mint message is authentic, so for this we have mapped it to FD-3 Verification.</t>
  </si>
  <si>
    <t xml:space="preserve">BR-047</t>
  </si>
  <si>
    <t xml:space="preserve">Qubit Finance (QBridge)</t>
  </si>
  <si>
    <t xml:space="preserve">$80 Million</t>
  </si>
  <si>
    <t xml:space="preserve">QBridge's Ethereum-to-BSC deposit path reused one Deposit event for both native ETH and ERC-20 deposits. After an owner remapped the ETH resourceID to the zero address, deposit() called tokenAddress.safeTransferFrom() on address(0), which is a no-op that does not revert, then emitted a Deposit event as if ETH had been locked. The BSC handler minted ~77,162 qXETH against nothing; the attacker used that unbacked collateral to borrow about $80M from Qubit's BSC lending pools. No funds were returned.</t>
  </si>
  <si>
    <t xml:space="preserve">https://certik.medium.com/qubit-bridge-collapse-exploited-to-the-tune-of-80-million-a7ab9068e1a0</t>
  </si>
  <si>
    <t xml:space="preserve">https://qbt.wiki/en/incident/what-happened/</t>
  </si>
  <si>
    <t xml:space="preserve">https://www.certik.com/blog/cross-chain-vulnerabilities-and-bridge-exploits-in-2022</t>
  </si>
  <si>
    <t xml:space="preserve">Calling deposit() with zero ETH still emitted the same Deposit event used for a real ETH lock, because safeTransferFrom on the zero address silently succeeded. A source-chain event treated as proof of a deposit when no assets moved is the Event Injection pattern, and for this we have mapped it to Event Injection (EI). The flaw is in the deposit function that emits the event the destination side trusts, so for this we have mapped it to FD-1 Deposit.</t>
  </si>
  <si>
    <t xml:space="preserve">BR-048</t>
  </si>
  <si>
    <t xml:space="preserve">Multichain / AnySwap (router approval flaw)</t>
  </si>
  <si>
    <t xml:space="preserve">Dedaub disclosed two bugs in AnyswapV5ERC20 and AnyswapRouter: depositWithPermit / anySwapOutUnderlyingWithPermit called token.permit() and then transferred from the victim if that call did not revert. WETH and several other wrapped tokens have no permit function, so the call is a no-op that still succeeds, and any wallet that had previously approved the router could be drained. Multichain's January 18 public warning to revoke approvals also tipped off attackers; multiple parties stole over $3M from users of WETH, PERI, OMT, WBNB, MATIC, and AVAX. About $1M was later returned by a self-described whitehat. Distinct from the July 2023 Multichain MPC-key collapse.</t>
  </si>
  <si>
    <t xml:space="preserve">https://medium.com/multichainorg/multichain-contract-vulnerability-post-mortem-d37bfab237c8</t>
  </si>
  <si>
    <t xml:space="preserve">https://dedaub.com/blog/phantom-functions-and-the-billion-dollar-no-op/</t>
  </si>
  <si>
    <t xml:space="preserve">https://www.halborn.com/blog/post/explained-the-multichain-hack-january-2022</t>
  </si>
  <si>
    <t xml:space="preserve">The router treated a no-op permit() on tokens that do not implement EIP-2612 as a successful approval, then executed transferFrom against existing user allowances exactly as the code was written. A missing success-check in the contract's own deposit/routing logic is the Logic Exploitation pattern, and for this we have mapped it to Logic Exploitation (LE). The vulnerable functions are the ones that actually move user tokens out of wallets that had approved the router, so for this we have mapped it to FD-4 Execution.</t>
  </si>
  <si>
    <t xml:space="preserve">Included: exploited AnyswapRouter is the bridge's cross-chain router.</t>
  </si>
  <si>
    <t xml:space="preserve">Bridge-Only Dataset — Summary Statistics (all values are live formulas on the Dataset sheet)</t>
  </si>
  <si>
    <t xml:space="preserve">Study period</t>
  </si>
  <si>
    <t xml:space="preserve">Jan 2022 – Aug 2026</t>
  </si>
  <si>
    <t xml:space="preserve">Incidents in final dataset</t>
  </si>
  <si>
    <t xml:space="preserve">Incidents excluded</t>
  </si>
  <si>
    <t xml:space="preserve">Total gross bridge-specific loss (USD)</t>
  </si>
  <si>
    <t xml:space="preserve">Median gross loss per incident (USD)</t>
  </si>
  <si>
    <t xml:space="preserve">Mean gross loss per incident (USD)</t>
  </si>
  <si>
    <t xml:space="preserve">Earliest incident</t>
  </si>
  <si>
    <t xml:space="preserve">Latest incident</t>
  </si>
  <si>
    <t xml:space="preserve">Incidents</t>
  </si>
  <si>
    <t xml:space="preserve">Share of incidents</t>
  </si>
  <si>
    <t xml:space="preserve">Total loss (USD)</t>
  </si>
  <si>
    <t xml:space="preserve">Median loss (USD)</t>
  </si>
  <si>
    <t xml:space="preserve">Total</t>
  </si>
  <si>
    <t xml:space="preserve">Note: losses are gross bridge-specific losses (Dataset column F): value taken at the time of the incident, recoveries not subtracted (see Loss Normalization Note and Codebook). Median columns are array formulas.</t>
  </si>
  <si>
    <t xml:space="preserve">Classification quality</t>
  </si>
  <si>
    <t xml:space="preserve">Value</t>
  </si>
  <si>
    <t xml:space="preserve">Boundary cases</t>
  </si>
  <si>
    <t xml:space="preserve">Classification confidence: High</t>
  </si>
  <si>
    <t xml:space="preserve">Classification confidence: Medium</t>
  </si>
  <si>
    <t xml:space="preserve">Classification confidence: Low</t>
  </si>
  <si>
    <t xml:space="preserve">Incidents involving a flash loan</t>
  </si>
  <si>
    <t xml:space="preserve">Loss concentration</t>
  </si>
  <si>
    <t xml:space="preserve">Largest incident share of total loss</t>
  </si>
  <si>
    <t xml:space="preserve">Five largest incidents share</t>
  </si>
  <si>
    <t xml:space="preserve">Ten largest incidents share</t>
  </si>
  <si>
    <t xml:space="preserve">Gini coefficient (incident-level gross loss)</t>
  </si>
  <si>
    <t xml:space="preserve">Inter-rater agreement (fill Dataset columns V and W)</t>
  </si>
  <si>
    <t xml:space="preserve">Attack pattern</t>
  </si>
  <si>
    <t xml:space="preserve">Functional domain</t>
  </si>
  <si>
    <t xml:space="preserve">Incidents coded by second coder</t>
  </si>
  <si>
    <t xml:space="preserve">Raw agreement</t>
  </si>
  <si>
    <t xml:space="preserve">Expected chance agreement</t>
  </si>
  <si>
    <t xml:space="preserve">Cohen's kappa</t>
  </si>
  <si>
    <t xml:space="preserve">Kappa helper: attack pattern</t>
  </si>
  <si>
    <t xml:space="preserve">Coder 1 (on rows coded by coder 2)</t>
  </si>
  <si>
    <t xml:space="preserve">Coder 2</t>
  </si>
  <si>
    <t xml:space="preserve">Kappa helper: functional domain</t>
  </si>
  <si>
    <t xml:space="preserve">Total gross loss (USD)</t>
  </si>
  <si>
    <t xml:space="preserve">Date (as reported)</t>
  </si>
  <si>
    <t xml:space="preserve">Attack Pattern (as previously coded)</t>
  </si>
  <si>
    <t xml:space="preserve">Functional Domain (remapped)</t>
  </si>
  <si>
    <t xml:space="preserve">Reason (as previously coded)</t>
  </si>
  <si>
    <t xml:space="preserve">Exclusion Category</t>
  </si>
  <si>
    <t xml:space="preserve">Exclusion Rationale</t>
  </si>
  <si>
    <t xml:space="preserve">2025-10-30</t>
  </si>
  <si>
    <t xml:space="preserve">Garden Finance</t>
  </si>
  <si>
    <t xml:space="preserve">$11.4 million</t>
  </si>
  <si>
    <t xml:space="preserve">A compromise of a third-party "solver" operator, not the core protocol. Garden's non-custodial design routes swaps through independent solver operators. An attacker got hold of a solver's SSH key, gained root access to its server, and found a private key sitting in an environment variable — then drained that solver's own balances across multiple chains. Garden's core bridge contracts and other users' funds were technically unaffected since solvers are architecturally isolated, but the loss was real and significant.</t>
  </si>
  <si>
    <t xml:space="preserve">https://garden.finance/blog/garden-incident-report-october-30-2025</t>
  </si>
  <si>
    <t xml:space="preserve">https://www.theblock.co/press-releases/387636/garden-finance-shares-forensic-findings-security-breach-limited-to-solver-layer</t>
  </si>
  <si>
    <t xml:space="preserve">https://decrypt.co/356301/garden-finance-shares-forensic-findings-security-breach-limited-to-solver-layer</t>
  </si>
  <si>
    <t xml:space="preserve">The attacker breached a solver operator's server infrastructure directly, gaining root access through a compromised SSH key, and only then discovered a private key sitting in an environment variable on that compromised machine. Breaching the underlying server infrastructure itself, rather than phishing or socially engineering a specific individual out of their key, is the Infrastructure Hijacking pattern, and for this we have mapped it to Infrastructure Hijacking (IH). Server and cloud infrastructure hosting a bridge operator's secrets falls under the same supporting off-chain infrastructure this domain covers, so for this we have mapped it to FD-5 Governance &amp; Operations.</t>
  </si>
  <si>
    <t xml:space="preserve">Out of scope — no bridge loss</t>
  </si>
  <si>
    <t xml:space="preserve">Garden's own incident report states no protocol contracts were compromised and no user funds were at risk; the ~$11.4M were an independent solver's own assets. Mention in text as cross-chain infrastructure risk if useful, but not counted in bridge-loss statistics.</t>
  </si>
  <si>
    <t xml:space="preserve">2024-04-30</t>
  </si>
  <si>
    <t xml:space="preserve">Pike Finance (2nd incident)</t>
  </si>
  <si>
    <t xml:space="preserve">~$1.68 Million</t>
  </si>
  <si>
    <t xml:space="preserve">After the first CCTP exploit, Pike paused its contracts and shipped an emergency upgrade that added pause() and unpause() functions to the proxy. Those new functions only needed one bit of storage each, but the upgrade assigned them in a way that collided with and overwrote the existing initialized flag, resetting it to its default false value. Four days later, the attacker noticed the contract now looked uninitialized, called its initialize function a second time to set themselves as an active/authorized address, then used that status to call upgradeToAndCall and push their own malicious implementation, draining roughly 479 ETH plus ARB and OP tokens.</t>
  </si>
  <si>
    <t xml:space="preserve">The emergency patch deployed after the first incident added new pause and unpause functions that shifted the contract's storage layout, silently resetting the initialized flag back to its default, and the attacker exploited that collision to reinitialize the contract and grant themselves admin rights. A storage-layout bug in the contract's own upgrade logic, exploited by using the contract exactly as the flawed code allowed, is the Logic Exploitation pattern, and for this we have mapped it to Logic Exploitation (LE). The flaw let the attacker execute a privileged withdrawal through the contract's own execution path, so for this we have mapped it to FD-4 Execution.</t>
  </si>
  <si>
    <t xml:space="preserve">Out of scope — non-bridge component</t>
  </si>
  <si>
    <t xml:space="preserve">Storage-layout collision in Pike's emergency proxy upgrade (re-initialisation of a lending contract). The exploited component is not a bridge or cross-chain messaging mechanism. (Pike 1st incident, which exploited CCTP message validation, is retained.)</t>
  </si>
  <si>
    <t xml:space="preserve">2023-11-22</t>
  </si>
  <si>
    <t xml:space="preserve">KyberSwap</t>
  </si>
  <si>
    <t xml:space="preserve">$54.7 Million</t>
  </si>
  <si>
    <t xml:space="preserve">Precision Loss: Incorrect rounding in the SwapMath contract's estimateIncrementalLiquidity function caused tick-crossing logic to double-count liquidity at empty tick ranges the attacker deliberately set up, draining low-liquidity pools across 6 chains.</t>
  </si>
  <si>
    <t xml:space="preserve">https://blog.kyberswap.com/post-mortem-kyberswap-elastic-exploit/</t>
  </si>
  <si>
    <t xml:space="preserve">https://blocksecteam.medium.com/yet-another-tragedy-of-precision-loss-an-in-depth-analysis-of-the-kyberswap-incident-b0556022a570</t>
  </si>
  <si>
    <t xml:space="preserve">https://www.certik.com/blog/kyberswap-elastic</t>
  </si>
  <si>
    <t xml:space="preserve">The root cause is a precision-loss/rounding bug in the SwapMath contract's estimateIncrementalLiquidity function, which caused the tick-crossing logic to double-count liquidity at empty tick ranges the attacker had deliberately set up. The contract executed its own flawed arithmetic exactly as written, no credential was stolen and no forged proof was submitted. A structural coding flaw exploited by using the contract exactly as designed is the Logic Exploitation pattern, and for this we have mapped it to Logic Exploitation (LE). The flawed calculation lives inside the swap-execution path that directly moves pool liquidity, so for this we have mapped it to FD-4 Execution.</t>
  </si>
  <si>
    <t xml:space="preserve">Rounding/precision bug in the KyberSwap Elastic AMM swap math. Multi-chain deployment and separate bridge integrations do not make the AMM exploit a bridge incident.</t>
  </si>
  <si>
    <t xml:space="preserve">2023-11-10</t>
  </si>
  <si>
    <t xml:space="preserve">Poloniex</t>
  </si>
  <si>
    <t xml:space="preserve">Key Compromise: Suspected Lazarus Group attack drained hot wallet private keys across Ethereum, Tron, and Bitcoin.</t>
  </si>
  <si>
    <t xml:space="preserve">https://www.coindesk.com/business/2023/11/10/poloniex-hot-wallets-hacked-65m-seemingly-stolen-on-chain-data</t>
  </si>
  <si>
    <t xml:space="preserve">https://www.certik.com/blog/poloniex-incident-analysis</t>
  </si>
  <si>
    <t xml:space="preserve">https://cointelegraph.com/news/poloniex-hacker-identity-confirmed-10-million-bounty</t>
  </si>
  <si>
    <t xml:space="preserve">Suspected Lazarus Group actors obtained the private keys controlling Poloniex's Ethereum, Tron, and Bitcoin hot wallets and used them to authorize withdrawals the exchange's systems had no way of distinguishing from legitimate operator activity. Using a genuinely stolen signing credential to move funds, rather than exploiting a code flaw, is the Credential Seizure pattern, and for this we have mapped it to Credential Seizure (CS). Hot-wallet signing keys sit in the same persistent custodial control plane as bridge validator keys, so for this we have mapped it to FD-5 Governance &amp; Operations.</t>
  </si>
  <si>
    <t xml:space="preserve">Out of scope — centralized exchange</t>
  </si>
  <si>
    <t xml:space="preserve">Centralized-exchange hot-wallet private-key compromise. No bridge or cross-chain messaging mechanism involved.</t>
  </si>
  <si>
    <t xml:space="preserve">2023-09-23</t>
  </si>
  <si>
    <t xml:space="preserve">Mixin Network</t>
  </si>
  <si>
    <t xml:space="preserve">$200 Million</t>
  </si>
  <si>
    <t xml:space="preserve">Cloud Provider Hack: Attackers breached the database of Mixin Network's cloud service provider, exposing custody-layer material and enabling unauthorized withdrawal of network assets.</t>
  </si>
  <si>
    <t xml:space="preserve">https://techcrunch.com/2023/09/25/hackers-steal-200-million-from-crypto-company-mixin/</t>
  </si>
  <si>
    <t xml:space="preserve">https://www.elliptic.co/insights/mixin-network-hacked-for-200-million/</t>
  </si>
  <si>
    <t xml:space="preserve">https://www.reuters.com/technology/hong-kong-crypto-firm-hit-by-200-million-hack-2023-09-25/</t>
  </si>
  <si>
    <t xml:space="preserve">The attacker breached the database of Mixin Network's cloud infrastructure provider directly, rather than phishing a specific individual or exploiting an on-chain contract, exposing the custody-layer material needed to move network assets. Compromising the underlying cloud/database infrastructure itself is the Infrastructure Hijacking pattern, and for this we have mapped it to Infrastructure Hijacking (IH). Cloud infrastructure hosting a network's custody and signing material falls under the same supporting off-chain infrastructure this domain covers, so for this we have mapped it to FD-5 Governance &amp; Operations.</t>
  </si>
  <si>
    <t xml:space="preserve">Out of scope — custodial network infrastructure</t>
  </si>
  <si>
    <t xml:space="preserve">Compromise of Mixin's cloud service provider database (custodial hot-wallet material). The exploited component cannot be tied to a bridge transfer/verification mechanism; under a bridge-only inclusion rule it is excluded.</t>
  </si>
  <si>
    <t xml:space="preserve">2023-09-04</t>
  </si>
  <si>
    <t xml:space="preserve">Stake.com</t>
  </si>
  <si>
    <t xml:space="preserve">$41.3 Million</t>
  </si>
  <si>
    <t xml:space="preserve">Key Exploit: Unauthorized transactions drained ETH/BSC/Polygon hot wallets; the FBI attributed the theft to North Korea's Lazarus Group. Stake's co-founder said a transaction-authorization service, not raw private keys, was the compromised component.</t>
  </si>
  <si>
    <t xml:space="preserve">https://medium.com/@edcraven22/always-moving-forward-reflections-on-the-recent-stake-com-exploit-431105710a2e</t>
  </si>
  <si>
    <t xml:space="preserve">https://www.fbi.gov/news/press-releases/fbi-identifies-lazarus-group-cyber-actors-as-responsible-for-theft-of-41-million-from-stakecom</t>
  </si>
  <si>
    <t xml:space="preserve">https://www.halborn.com/blog/post/explained-the-stake-com-hack-september-2023</t>
  </si>
  <si>
    <t xml:space="preserve">Attackers gained unauthorized access to the signing/authorization layer behind Stake.com's ETH, BSC, and Polygon hot wallets and used it to move funds out with no interaction with any smart contract; the FBI attributed the theft to the Lazarus Group. Using compromised signing access to authorize a transaction, rather than exploiting a code flaw, is the Credential Seizure pattern, and for this we have mapped it to Credential Seizure (CS). Hot-wallet signing credentials are part of the persistent operational control plane, so for this we have mapped it to FD-5 Governance &amp; Operations.</t>
  </si>
  <si>
    <t xml:space="preserve">Out of scope — centralized platform</t>
  </si>
  <si>
    <t xml:space="preserve">Theft from an online casino/betting platform's hot wallets (FBI: Lazarus). Funds moving across several chains does not make it a bridge attack.</t>
  </si>
  <si>
    <t xml:space="preserve">2023-03-15</t>
  </si>
  <si>
    <t xml:space="preserve">Poolz Finance</t>
  </si>
  <si>
    <t xml:space="preserve">$0.665 Million</t>
  </si>
  <si>
    <t xml:space="preserve">Integer Overflow: The CreateMassPools function's getArraySum summation overflowed uint256 in the unaudited LockedControl.sol vesting contract, letting the attacker record a deposit far larger than what was actually transferred, then withdraw the inflated balance.</t>
  </si>
  <si>
    <t xml:space="preserve">https://blog.solidityscan.com/poolz-finance-hack-analysis-still-experiencing-overflow-fcf35ab8a6c5/</t>
  </si>
  <si>
    <t xml:space="preserve">https://www.numencyber.com/poolz-finance-attacked-for-665k/</t>
  </si>
  <si>
    <t xml:space="preserve">https://www.ironblocks.com/blog/poolz-protocol-hack-description</t>
  </si>
  <si>
    <t xml:space="preserve">The root cause is an arithmetic overflow in the unaudited LockedControl.sol vesting contract's getArraySum function: passing values that summed past uint256's ceiling wrapped the total to a tiny number, letting the attacker record a deposit far larger than what was actually transferred. The contract executed this flawed arithmetic exactly as written, no credential was stolen and no forged proof was submitted. A structural coding flaw exploited by using the contract exactly as designed is the Logic Exploitation pattern, and for this we have mapped it to Logic Exploitation (LE). The flawed calculation lives inside the function that actually executes the token withdrawal, so for this we have mapped it to FD-4 Execution.</t>
  </si>
  <si>
    <t xml:space="preserve">Integer overflow in Poolz Finance's LockedControl token-vesting/locker contract. The exploited component is not a bridge or cross-chain messaging mechanism.</t>
  </si>
  <si>
    <t xml:space="preserve">2021-11-01</t>
  </si>
  <si>
    <t xml:space="preserve">PolkaBridge</t>
  </si>
  <si>
    <t xml:space="preserve">$0.6 Million</t>
  </si>
  <si>
    <t xml:space="preserve">Balance Logic: Manual removal of a necessary balance check.</t>
  </si>
  <si>
    <t xml:space="preserve">Outside study period</t>
  </si>
  <si>
    <t xml:space="preserve">Incident predates the Jan 2022 – Aug 2026 study period. May be cited as a historical example, not as part of the empirical dataset.</t>
  </si>
  <si>
    <t xml:space="preserve">2021-09-19</t>
  </si>
  <si>
    <t xml:space="preserve">pNetwork</t>
  </si>
  <si>
    <t xml:space="preserve">$13 Million</t>
  </si>
  <si>
    <t xml:space="preserve">Fake Event Emission: Attacker generated counterfeit events to access Bitcoin; bridge failed to confirm legitimacy.</t>
  </si>
  <si>
    <t xml:space="preserve">https://halborn.com/explained-the-pnetwork-hack-september-2021/</t>
  </si>
  <si>
    <t xml:space="preserve">2021-08-10</t>
  </si>
  <si>
    <t xml:space="preserve">Poly Network</t>
  </si>
  <si>
    <t xml:space="preserve">$611 Million</t>
  </si>
  <si>
    <t xml:space="preserve">Unchecked Permission: Unsafe external call allowed attacker to brute-force method variables and change public keys.</t>
  </si>
  <si>
    <t xml:space="preserve">https://immunefi.com/blog/bug-fix-reviews/common-cross-chain-bridge-vulnerabilities/</t>
  </si>
  <si>
    <t xml:space="preserve">2021-07-10</t>
  </si>
  <si>
    <t xml:space="preserve">ChainSwap</t>
  </si>
  <si>
    <t xml:space="preserve">$8 Million</t>
  </si>
  <si>
    <t xml:space="preserve">Invalid Signature: Exploit caused by insufficient signature verification during the bridge's minting process.</t>
  </si>
  <si>
    <t xml:space="preserve">https://arxiv.org/abs/2312.12573</t>
  </si>
  <si>
    <t xml:space="preserve">June-July 2021</t>
  </si>
  <si>
    <t xml:space="preserve">$16.35 Million</t>
  </si>
  <si>
    <t xml:space="preserve">Fake Event Emission: Three consecutive attacks involving faked deposit events to mint or release assets.</t>
  </si>
  <si>
    <t xml:space="preserve">https://slowmist.medium.com/slowmist-analysis-of-three-consecutive-attacks-o  [URL truncated in source workbook — needs repair if cited]</t>
  </si>
  <si>
    <t xml:space="preserve">SCOPE &amp; INCLUSION</t>
  </si>
  <si>
    <t xml:space="preserve">1 January 2022 – 31 August 2026 (incident start date).</t>
  </si>
  <si>
    <t xml:space="preserve">Unit of analysis</t>
  </si>
  <si>
    <t xml:space="preserve">One exploit incident against a cross-chain bridge or cross-chain messaging mechanism. Repeat attacks on the same bridge are separate records.</t>
  </si>
  <si>
    <t xml:space="preserve">Inclusion rule</t>
  </si>
  <si>
    <t xml:space="preserve">The exploited component must be part of a cross-chain bridge or cross-chain messaging mechanism (deposit/lock/burn handling, relaying, proof/message verification, release/mint execution, or the bridge's own keys, governance, deployment or operating infrastructure). Multi-chain deployment of an otherwise single-chain application, or funds being moved across chains after a theft, does not qualify.</t>
  </si>
  <si>
    <t xml:space="preserve">Exclusions</t>
  </si>
  <si>
    <t xml:space="preserve">Centralized exchanges and custodial platforms (e.g., Poloniex, Stake.com, Mixin); non-bridge components of protocols that also offer bridging (e.g., KyberSwap Elastic AMM, Poolz locker, Pike upgrade collision); incidents with no loss to the bridge or its users (Garden solver); incidents before 2022. See the Excluded Incidents sheet.</t>
  </si>
  <si>
    <t xml:space="preserve">Evidence rule</t>
  </si>
  <si>
    <t xml:space="preserve">An incident is included only if supported by an official post-mortem/incident report OR at least two independent technical/reporting sources.</t>
  </si>
  <si>
    <t xml:space="preserve">LOSS NORMALIZATION</t>
  </si>
  <si>
    <t xml:space="preserve">Value removed from the bridge, its liquidity, or users via the bridge mechanism, in USD at time of incident. Excludes: unrelated losses at the same organisation (e.g., HTX exchange hot wallets), downstream contagion in third-party protocols (e.g., Kelp rsETH borrowing on lending markets), market/price-impact estimates, and attempted-but-unrealised amounts. Where only a range is reported, the lower bound is used. Recoveries/bounties are not netted out, so the figure is a gross loss and may exceed net losses reported after recovery. When sources disagree, the figure best supported by on-chain evidence or the official report is used, and the choice is explained in the Loss Normalization Note.</t>
  </si>
  <si>
    <t xml:space="preserve">ATTACK PATTERNS (one primary per incident)</t>
  </si>
  <si>
    <t xml:space="preserve">A fabricated or unbacked source-side signal (deposit, burn, memo, event) is accepted as a genuine bridge event.</t>
  </si>
  <si>
    <t xml:space="preserve">A forged or unbacked proof/message passes, or bypasses, the bridge's verification of cross-chain state (signature, Merkle proof, DVN/oracle attestation, peer trust).</t>
  </si>
  <si>
    <t xml:space="preserve">A structural coding flaw (missing check, initialisation/upgrade bug, arithmetic error, replay) is exploited by using the contract exactly as written, without forging proofs or stealing keys.</t>
  </si>
  <si>
    <t xml:space="preserve">The attacker distorts economic state the bridge depends on (pool balances, internal pricing, stake weight) and extracts value from the distortion. Flash loans are treated as an enabling mechanism, not as the pattern. Replaces the former Flash Loan Amplification (FLA) label.</t>
  </si>
  <si>
    <t xml:space="preserve">Genuine signing/admin/deployer/validator credentials are stolen or reconstructed and used to authorise actions the bridge cannot distinguish from legitimate ones.</t>
  </si>
  <si>
    <t xml:space="preserve">The bridge's off-chain operating infrastructure (CI/CD, servers, frontend hosting, DNS/BGP) is compromised to inject capability or redirect users.</t>
  </si>
  <si>
    <t xml:space="preserve">PRIMARY FUNCTIONAL DOMAIN (one per incident)</t>
  </si>
  <si>
    <t xml:space="preserve">Sequential execution path, step 1: recognising a source-chain lock, burn or deposit.</t>
  </si>
  <si>
    <t xml:space="preserve">Sequential execution path, step 2: off-chain or on-chain relaying/attestation of the cross-chain message.</t>
  </si>
  <si>
    <t xml:space="preserve">Sequential execution path, step 3: destination-side verification of the message/proof.</t>
  </si>
  <si>
    <t xml:space="preserve">Sequential execution path, step 4: release, mint or withdrawal execution and the accounting it relies on.</t>
  </si>
  <si>
    <t xml:space="preserve">Not a lifecycle step. Persistent governance/operational control plane: keys, multisigs, validator sets, admin/upgrade rights, deployment and hosting infrastructure.</t>
  </si>
  <si>
    <t xml:space="preserve">EVIDENCE LEVEL</t>
  </si>
  <si>
    <t xml:space="preserve">Official post-mortem/incident report (or official fix artefact) plus at least one independent technical source.</t>
  </si>
  <si>
    <t xml:space="preserve">At least two independent technical/reporting sources; no official post-mortem linked.</t>
  </si>
  <si>
    <t xml:space="preserve">Single authoritative source — the official post-mortem/incident report only (satisfies the evidence rule).</t>
  </si>
  <si>
    <t xml:space="preserve">On-chain tracing plus third-party reporting; root cause not officially disclosed, so the pattern/domain classification is inferred.</t>
  </si>
  <si>
    <t xml:space="preserve">CLASSIFICATION QUALITY FIELDS</t>
  </si>
  <si>
    <t xml:space="preserve">Counting rule</t>
  </si>
  <si>
    <t xml:space="preserve">Each incident has exactly one primary attack pattern and one primary functional domain, so counts and losses are mutually exclusive and sum to the dataset totals.</t>
  </si>
  <si>
    <t xml:space="preserve">Supporting method recorded separately from the attack pattern (e.g., flash loan, phishing, social engineering). Only mechanisms explicitly stated in the root-cause description are recorded; otherwise 'None recorded'. An enabling mechanism never creates a separate pattern label.</t>
  </si>
  <si>
    <t xml:space="preserve">'Yes' if, during coding, two patterns each met a necessary condition and the primary pattern had to be chosen with a decision rule (see paper, Boundary Cases table). Six incidents meet this criterion.</t>
  </si>
  <si>
    <t xml:space="preserve">Alternative Pattern / Domain</t>
  </si>
  <si>
    <t xml:space="preserve">For boundary cases only: the most plausible alternative label. Used in the sensitivity analysis (all 2^6 = 64 combinations of original and alternative labels).</t>
  </si>
  <si>
    <t xml:space="preserve">Rule-based (live formula): Low = E4 (root cause inferred); Medium = boundary case or E3 (single official source); High = all other incidents.</t>
  </si>
  <si>
    <t xml:space="preserve">Coder 2 fields</t>
  </si>
  <si>
    <t xml:space="preserve">Columns V and W are left blank for an independent second coder. The second coder should label every incident from the evidence and the classification criteria without viewing columns M, N, O, S or T. Agreement and Cohen's kappa are calculated automatically on the Summary sheet.</t>
  </si>
  <si>
    <t xml:space="preserve">Summary statistics</t>
  </si>
  <si>
    <t xml:space="preserve">Quartiles in the paper use linear interpolation. The Gini coefficient is computed over the 48 incident-level gross bridge-specific losses (no zero-loss incidents) as the mean absolute difference divided by twice the mean.</t>
  </si>
  <si>
    <t xml:space="preserve">Records what the gross loss figure measures, derived from the existing root-cause and loss notes: Bridge-held assets withdrawn (vaults, escrow, reserves or bridge liquidity); Wallet funds drained (user or team wallets via approvals, or user payments redirected); Value of unbacked minted assets (tokens minted without backing, valued at the time of the incident, even if later frozen); Real assets obtained with unbacked tokens (sale or borrowing proceeds); Reported figure, basis not specified. Bases differ for unbacked-minting incidents; see paper, Loss Measurement.</t>
  </si>
  <si>
    <t xml:space="preserve">Issue</t>
  </si>
  <si>
    <t xml:space="preserve">Change made</t>
  </si>
  <si>
    <t xml:space="preserve">FLA → ESM</t>
  </si>
  <si>
    <t xml:space="preserve">Attack Pattern changed to Economic-State Manipulation (ESM) for Allbridge Core (Jul 2026), Shibarium (Sep 2025) and Allbridge (Apr 2023); rationale text rewritten so it no longer refers to Flash Loan Amplification and frames the flash loan as an enabler.</t>
  </si>
  <si>
    <t xml:space="preserve">2021 contamination</t>
  </si>
  <si>
    <t xml:space="preserve">PolkaBridge, pNetwork, Poly Network, ChainSwap and THORChain (2021) moved to Excluded Incidents (outside study period); their old ST-x codes remapped to FD-x there for consistency.</t>
  </si>
  <si>
    <t xml:space="preserve">Non-bridge incidents</t>
  </si>
  <si>
    <t xml:space="preserve">Poloniex, Stake.com, KyberSwap Elastic moved to Excluded Incidents per the reviewer. By the same inclusion rule, Poolz Finance (locker-contract overflow) and Pike Finance 2nd incident (proxy-upgrade storage collision) were also excluded — both exploited non-bridge components. Review these two if you disagree; restoring them is a copy-paste.</t>
  </si>
  <si>
    <t xml:space="preserve">Cross-chain vs bridge scope</t>
  </si>
  <si>
    <t xml:space="preserve">Bridge-only scope adopted and written into the Codebook. Mixin excluded (cloud-provider compromise of custodial material, not a bridge mechanism). Garden excluded (solver-owned assets; no protocol or user loss per Garden's report).</t>
  </si>
  <si>
    <t xml:space="preserve">Loss normalization</t>
  </si>
  <si>
    <t xml:space="preserve">New numeric column "Bridge-Specific Loss (USD)" plus a note column. HECO now counts $86.8M bridge loss only (HTX exchange losses removed from figure and from the rationale). Kelp counts the $292M bridge drain only. Sandbox counts the ~$697K direct drain. Across counts the $4.5M paid out. Ranges use the lower bound.</t>
  </si>
  <si>
    <t xml:space="preserve">Terminology</t>
  </si>
  <si>
    <t xml:space="preserve">"Primary Lifecycle Stage" renamed "Primary Functional Domain"; "Reason (Why This Pattern &amp; Stage)" renamed accordingly; two rationales that said "stage" reworded. Codebook defines FD-1–FD-4 as the sequential path and FD-5 as the control plane.</t>
  </si>
  <si>
    <t xml:space="preserve">Evidence structure</t>
  </si>
  <si>
    <t xml:space="preserve">New "Evidence Level" column (E1–E4) for every record and a Scope / Evidence Note for borderline rows. Saga previously had one source (Halborn) and did not meet the evidence rule; The Block report added as Source 2. TeleSwap flagged E4 (root cause undisclosed).</t>
  </si>
  <si>
    <t xml:space="preserve">Other cleanup</t>
  </si>
  <si>
    <t xml:space="preserve">Dates normalised to real dates (ranges use start date, noted); Year column added; stable IDs (BR-001…); Verus repeat-attack text no longer refers to "incident #8 above"; Hyperbridge root-cause label "Admin Permission Takeover" changed to "Proof Verification Flaw" to match its own description and PF code; truncated THORChain 2021 URL flagged.</t>
  </si>
  <si>
    <t xml:space="preserve">Dataset count</t>
  </si>
  <si>
    <t xml:space="preserve">60 rows → 55 in study period → 48 bridge-only incidents. The paper's "44" must be updated to 48 (or the 4-incident difference explicitly justified).</t>
  </si>
  <si>
    <t xml:space="preserve">Domain labels</t>
  </si>
  <si>
    <t xml:space="preserve">FD-3 Verification → FD-3 Verification; FD-4 Execution → FD-4 Execution; FD-5 Governance &amp; Operations → FD-5 Governance &amp; Operations (Dataset, Excluded Incidents, Summary, Codebook) to match the paper.</t>
  </si>
  <si>
    <t xml:space="preserve">Loss terminology</t>
  </si>
  <si>
    <t xml:space="preserve">Column F renamed 'Gross Bridge-Specific Loss (USD)'; Summary and Codebook updated to state that recoveries are not subtracted. Values unchanged.</t>
  </si>
  <si>
    <t xml:space="preserve">Enabling mechanisms</t>
  </si>
  <si>
    <t xml:space="preserve">New column Q records supporting methods (e.g., flash loans in 4 incidents) taken only from the existing root-cause text. No pattern labels changed.</t>
  </si>
  <si>
    <t xml:space="preserve">New columns R–T flag the six boundary cases (BR-003, BR-014, BR-021, BR-024, BR-027, BR-041) and record their alternative labels for the sensitivity analysis.</t>
  </si>
  <si>
    <t xml:space="preserve">Classification confidence</t>
  </si>
  <si>
    <t xml:space="preserve">New formula column U (High / Medium / Low) based on evidence level and boundary status.</t>
  </si>
  <si>
    <t xml:space="preserve">Inter-rater reliability</t>
  </si>
  <si>
    <t xml:space="preserve">New blank input columns V–W for an independent second coder, with automatic raw agreement and Cohen's kappa on the Summary sheet.</t>
  </si>
  <si>
    <t xml:space="preserve">Summary sheet now reports largest-incident, top-5 and top-10 loss shares and the Gini coefficient as live formulas.</t>
  </si>
  <si>
    <t xml:space="preserve">Loss basis</t>
  </si>
  <si>
    <t xml:space="preserve">New column X records the basis of each gross loss figure (5 categories) from the existing notes; Summary sheet reports counts and totals by basis. Loss values unchanged.</t>
  </si>
</sst>
</file>

<file path=xl/styles.xml><?xml version="1.0" encoding="utf-8"?>
<styleSheet xmlns="http://schemas.openxmlformats.org/spreadsheetml/2006/main">
  <numFmts count="6">
    <numFmt numFmtId="164" formatCode="General"/>
    <numFmt numFmtId="165" formatCode="yyyy\-mm\-dd"/>
    <numFmt numFmtId="166" formatCode="0"/>
    <numFmt numFmtId="167" formatCode="\$#,##0"/>
    <numFmt numFmtId="168" formatCode="0.0%"/>
    <numFmt numFmtId="169" formatCode="0.000"/>
  </numFmts>
  <fonts count="7">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
      <sz val="11"/>
      <color rgb="FF0000FF"/>
      <name val="Arial"/>
      <family val="0"/>
      <charset val="1"/>
    </font>
  </fonts>
  <fills count="4">
    <fill>
      <patternFill patternType="none"/>
    </fill>
    <fill>
      <patternFill patternType="gray125"/>
    </fill>
    <fill>
      <patternFill patternType="solid">
        <fgColor rgb="FFD9E1F2"/>
        <bgColor rgb="FFCCFFFF"/>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6" fontId="5" fillId="0" borderId="0" xfId="0" applyFont="true" applyBorder="false" applyAlignment="true" applyProtection="false">
      <alignment horizontal="general" vertical="top" textRotation="0" wrapText="true" indent="0" shrinkToFit="false"/>
      <protection locked="true" hidden="false"/>
    </xf>
    <xf numFmtId="167" fontId="6"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68" fontId="4" fillId="0" borderId="0" xfId="0" applyFont="tru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D9E1F2"/>
          <bgColor rgb="FF000000"/>
        </patternFill>
      </fill>
    </dxf>
    <dxf>
      <fill>
        <patternFill patternType="solid">
          <bgColor rgb="FF000000"/>
        </patternFill>
      </fill>
    </dxf>
    <dxf>
      <fill>
        <patternFill patternType="solid">
          <fgColor rgb="FF0000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2"/>
    <col collapsed="false" customWidth="true" hidden="false" outlineLevel="0" max="3" min="3" style="1" width="7"/>
    <col collapsed="false" customWidth="true" hidden="false" outlineLevel="0" max="4" min="4" style="1" width="30"/>
    <col collapsed="false" customWidth="true" hidden="false" outlineLevel="0" max="5" min="5" style="1" width="24"/>
    <col collapsed="false" customWidth="true" hidden="false" outlineLevel="0" max="6" min="6" style="1" width="16"/>
    <col collapsed="false" customWidth="true" hidden="false" outlineLevel="0" max="7" min="7" style="1" width="34"/>
    <col collapsed="false" customWidth="true" hidden="false" outlineLevel="0" max="8" min="8" style="1" width="70"/>
    <col collapsed="false" customWidth="true" hidden="false" outlineLevel="0" max="11" min="9" style="1" width="32"/>
    <col collapsed="false" customWidth="true" hidden="false" outlineLevel="0" max="12" min="12" style="1" width="10"/>
    <col collapsed="false" customWidth="true" hidden="false" outlineLevel="0" max="13" min="13" style="1" width="26"/>
    <col collapsed="false" customWidth="true" hidden="false" outlineLevel="0" max="14" min="14" style="1" width="20"/>
    <col collapsed="false" customWidth="true" hidden="false" outlineLevel="0" max="15" min="15" style="1" width="80"/>
    <col collapsed="false" customWidth="true" hidden="false" outlineLevel="0" max="16" min="16" style="1" width="40"/>
    <col collapsed="false" customWidth="true" hidden="false" outlineLevel="0" max="17" min="17" style="1" width="28"/>
    <col collapsed="false" customWidth="true" hidden="false" outlineLevel="0" max="18" min="18" style="1" width="13"/>
    <col collapsed="false" customWidth="true" hidden="false" outlineLevel="0" max="20" min="19" style="1" width="26"/>
    <col collapsed="false" customWidth="true" hidden="false" outlineLevel="0" max="21" min="21" style="1" width="16"/>
    <col collapsed="false" customWidth="true" hidden="false" outlineLevel="0" max="22" min="22" style="1" width="26"/>
    <col collapsed="false" customWidth="true" hidden="false" outlineLevel="0" max="23" min="23" style="1" width="28"/>
    <col collapsed="false" customWidth="true" hidden="false" outlineLevel="0" max="24" min="24" style="0" width="34"/>
  </cols>
  <sheetData>
    <row r="1" customFormat="false" ht="39"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ustomFormat="false" ht="115.5" hidden="false" customHeight="true" outlineLevel="0" collapsed="false">
      <c r="A2" s="3" t="s">
        <v>24</v>
      </c>
      <c r="B2" s="4" t="n">
        <v>46257</v>
      </c>
      <c r="C2" s="5" t="n">
        <f aca="false">YEAR(B2)</f>
        <v>2026</v>
      </c>
      <c r="D2" s="3" t="s">
        <v>25</v>
      </c>
      <c r="E2" s="3" t="s">
        <v>26</v>
      </c>
      <c r="F2" s="6" t="n">
        <v>93000</v>
      </c>
      <c r="G2" s="3"/>
      <c r="H2" s="3" t="s">
        <v>27</v>
      </c>
      <c r="I2" s="3" t="s">
        <v>28</v>
      </c>
      <c r="J2" s="3" t="s">
        <v>29</v>
      </c>
      <c r="K2" s="3" t="s">
        <v>30</v>
      </c>
      <c r="L2" s="3" t="s">
        <v>31</v>
      </c>
      <c r="M2" s="3" t="s">
        <v>32</v>
      </c>
      <c r="N2" s="3" t="s">
        <v>33</v>
      </c>
      <c r="O2" s="3" t="s">
        <v>34</v>
      </c>
      <c r="P2" s="3"/>
      <c r="Q2" s="3" t="s">
        <v>35</v>
      </c>
      <c r="R2" s="3" t="s">
        <v>36</v>
      </c>
      <c r="S2" s="3"/>
      <c r="T2" s="3"/>
      <c r="U2" s="3" t="str">
        <f aca="false">IF(L2="E4","Low",IF(OR(R2="Yes",L2="E3"),"Medium","High"))</f>
        <v>High</v>
      </c>
      <c r="V2" s="7"/>
      <c r="W2" s="7"/>
      <c r="X2" s="3" t="s">
        <v>37</v>
      </c>
    </row>
    <row r="3" customFormat="false" ht="153" hidden="false" customHeight="true" outlineLevel="0" collapsed="false">
      <c r="A3" s="3" t="s">
        <v>38</v>
      </c>
      <c r="B3" s="4" t="n">
        <v>46255</v>
      </c>
      <c r="C3" s="5" t="n">
        <f aca="false">YEAR(B3)</f>
        <v>2026</v>
      </c>
      <c r="D3" s="3" t="s">
        <v>39</v>
      </c>
      <c r="E3" s="3" t="s">
        <v>40</v>
      </c>
      <c r="F3" s="6" t="n">
        <v>697000</v>
      </c>
      <c r="G3" s="3" t="s">
        <v>41</v>
      </c>
      <c r="H3" s="3" t="s">
        <v>42</v>
      </c>
      <c r="I3" s="3" t="s">
        <v>43</v>
      </c>
      <c r="J3" s="3" t="s">
        <v>44</v>
      </c>
      <c r="K3" s="3" t="s">
        <v>45</v>
      </c>
      <c r="L3" s="3" t="s">
        <v>46</v>
      </c>
      <c r="M3" s="3" t="s">
        <v>47</v>
      </c>
      <c r="N3" s="3" t="s">
        <v>48</v>
      </c>
      <c r="O3" s="3" t="s">
        <v>49</v>
      </c>
      <c r="P3" s="3"/>
      <c r="Q3" s="3" t="s">
        <v>35</v>
      </c>
      <c r="R3" s="3" t="s">
        <v>36</v>
      </c>
      <c r="S3" s="3"/>
      <c r="T3" s="3"/>
      <c r="U3" s="3" t="str">
        <f aca="false">IF(L3="E4","Low",IF(OR(R3="Yes",L3="E3"),"Medium","High"))</f>
        <v>High</v>
      </c>
      <c r="V3" s="7"/>
      <c r="W3" s="7"/>
      <c r="X3" s="3" t="s">
        <v>37</v>
      </c>
    </row>
    <row r="4" customFormat="false" ht="128.25" hidden="false" customHeight="true" outlineLevel="0" collapsed="false">
      <c r="A4" s="3" t="s">
        <v>50</v>
      </c>
      <c r="B4" s="4" t="n">
        <v>46253</v>
      </c>
      <c r="C4" s="5" t="n">
        <f aca="false">YEAR(B4)</f>
        <v>2026</v>
      </c>
      <c r="D4" s="3" t="s">
        <v>51</v>
      </c>
      <c r="E4" s="3" t="s">
        <v>52</v>
      </c>
      <c r="F4" s="6" t="n">
        <v>190000</v>
      </c>
      <c r="G4" s="3"/>
      <c r="H4" s="3" t="s">
        <v>53</v>
      </c>
      <c r="I4" s="3" t="s">
        <v>54</v>
      </c>
      <c r="J4" s="3" t="s">
        <v>55</v>
      </c>
      <c r="K4" s="3" t="s">
        <v>56</v>
      </c>
      <c r="L4" s="3" t="s">
        <v>31</v>
      </c>
      <c r="M4" s="3" t="s">
        <v>32</v>
      </c>
      <c r="N4" s="3" t="s">
        <v>33</v>
      </c>
      <c r="O4" s="3" t="s">
        <v>57</v>
      </c>
      <c r="P4" s="3"/>
      <c r="Q4" s="3" t="s">
        <v>58</v>
      </c>
      <c r="R4" s="3" t="s">
        <v>59</v>
      </c>
      <c r="S4" s="3" t="s">
        <v>47</v>
      </c>
      <c r="T4" s="3" t="s">
        <v>48</v>
      </c>
      <c r="U4" s="3" t="str">
        <f aca="false">IF(L4="E4","Low",IF(OR(R4="Yes",L4="E3"),"Medium","High"))</f>
        <v>Medium</v>
      </c>
      <c r="V4" s="7"/>
      <c r="W4" s="7"/>
      <c r="X4" s="3" t="s">
        <v>37</v>
      </c>
    </row>
    <row r="5" customFormat="false" ht="153" hidden="false" customHeight="true" outlineLevel="0" collapsed="false">
      <c r="A5" s="3" t="s">
        <v>60</v>
      </c>
      <c r="B5" s="4" t="n">
        <v>46243</v>
      </c>
      <c r="C5" s="5" t="n">
        <f aca="false">YEAR(B5)</f>
        <v>2026</v>
      </c>
      <c r="D5" s="3" t="s">
        <v>61</v>
      </c>
      <c r="E5" s="3" t="s">
        <v>62</v>
      </c>
      <c r="F5" s="6" t="n">
        <v>200000</v>
      </c>
      <c r="G5" s="3"/>
      <c r="H5" s="3" t="s">
        <v>63</v>
      </c>
      <c r="I5" s="3" t="s">
        <v>64</v>
      </c>
      <c r="J5" s="3" t="s">
        <v>65</v>
      </c>
      <c r="K5" s="3" t="s">
        <v>66</v>
      </c>
      <c r="L5" s="3" t="s">
        <v>31</v>
      </c>
      <c r="M5" s="3" t="s">
        <v>32</v>
      </c>
      <c r="N5" s="3" t="s">
        <v>33</v>
      </c>
      <c r="O5" s="3" t="s">
        <v>67</v>
      </c>
      <c r="P5" s="3"/>
      <c r="Q5" s="3" t="s">
        <v>35</v>
      </c>
      <c r="R5" s="3" t="s">
        <v>36</v>
      </c>
      <c r="S5" s="3"/>
      <c r="T5" s="3"/>
      <c r="U5" s="3" t="str">
        <f aca="false">IF(L5="E4","Low",IF(OR(R5="Yes",L5="E3"),"Medium","High"))</f>
        <v>High</v>
      </c>
      <c r="V5" s="7"/>
      <c r="W5" s="7"/>
      <c r="X5" s="3" t="s">
        <v>37</v>
      </c>
    </row>
    <row r="6" customFormat="false" ht="90" hidden="false" customHeight="true" outlineLevel="0" collapsed="false">
      <c r="A6" s="3" t="s">
        <v>68</v>
      </c>
      <c r="B6" s="4" t="n">
        <v>46226</v>
      </c>
      <c r="C6" s="5" t="n">
        <f aca="false">YEAR(B6)</f>
        <v>2026</v>
      </c>
      <c r="D6" s="3" t="s">
        <v>69</v>
      </c>
      <c r="E6" s="3" t="s">
        <v>70</v>
      </c>
      <c r="F6" s="6" t="n">
        <v>7540000</v>
      </c>
      <c r="G6" s="3"/>
      <c r="H6" s="3" t="s">
        <v>71</v>
      </c>
      <c r="I6" s="3" t="s">
        <v>72</v>
      </c>
      <c r="J6" s="3" t="s">
        <v>73</v>
      </c>
      <c r="K6" s="3" t="s">
        <v>74</v>
      </c>
      <c r="L6" s="3" t="s">
        <v>31</v>
      </c>
      <c r="M6" s="3" t="s">
        <v>47</v>
      </c>
      <c r="N6" s="3" t="s">
        <v>48</v>
      </c>
      <c r="O6" s="3" t="s">
        <v>75</v>
      </c>
      <c r="P6" s="3"/>
      <c r="Q6" s="3" t="s">
        <v>35</v>
      </c>
      <c r="R6" s="3" t="s">
        <v>36</v>
      </c>
      <c r="S6" s="3"/>
      <c r="T6" s="3"/>
      <c r="U6" s="3" t="str">
        <f aca="false">IF(L6="E4","Low",IF(OR(R6="Yes",L6="E3"),"Medium","High"))</f>
        <v>High</v>
      </c>
      <c r="V6" s="7"/>
      <c r="W6" s="7"/>
      <c r="X6" s="3" t="s">
        <v>37</v>
      </c>
    </row>
    <row r="7" customFormat="false" ht="90" hidden="false" customHeight="true" outlineLevel="0" collapsed="false">
      <c r="A7" s="3" t="s">
        <v>76</v>
      </c>
      <c r="B7" s="4" t="n">
        <v>46225</v>
      </c>
      <c r="C7" s="5" t="n">
        <f aca="false">YEAR(B7)</f>
        <v>2026</v>
      </c>
      <c r="D7" s="3" t="s">
        <v>77</v>
      </c>
      <c r="E7" s="3" t="s">
        <v>78</v>
      </c>
      <c r="F7" s="6" t="n">
        <v>24150000</v>
      </c>
      <c r="G7" s="3"/>
      <c r="H7" s="3" t="s">
        <v>79</v>
      </c>
      <c r="I7" s="3" t="s">
        <v>80</v>
      </c>
      <c r="J7" s="3" t="s">
        <v>81</v>
      </c>
      <c r="K7" s="3" t="s">
        <v>82</v>
      </c>
      <c r="L7" s="3" t="s">
        <v>31</v>
      </c>
      <c r="M7" s="3" t="s">
        <v>83</v>
      </c>
      <c r="N7" s="3" t="s">
        <v>84</v>
      </c>
      <c r="O7" s="3" t="s">
        <v>85</v>
      </c>
      <c r="P7" s="3"/>
      <c r="Q7" s="3" t="s">
        <v>35</v>
      </c>
      <c r="R7" s="3" t="s">
        <v>36</v>
      </c>
      <c r="S7" s="3"/>
      <c r="T7" s="3"/>
      <c r="U7" s="3" t="str">
        <f aca="false">IF(L7="E4","Low",IF(OR(R7="Yes",L7="E3"),"Medium","High"))</f>
        <v>High</v>
      </c>
      <c r="V7" s="7"/>
      <c r="W7" s="7"/>
      <c r="X7" s="3" t="s">
        <v>37</v>
      </c>
    </row>
    <row r="8" customFormat="false" ht="102.75" hidden="false" customHeight="true" outlineLevel="0" collapsed="false">
      <c r="A8" s="3" t="s">
        <v>86</v>
      </c>
      <c r="B8" s="4" t="n">
        <v>46223</v>
      </c>
      <c r="C8" s="5" t="n">
        <f aca="false">YEAR(B8)</f>
        <v>2026</v>
      </c>
      <c r="D8" s="3" t="s">
        <v>87</v>
      </c>
      <c r="E8" s="3" t="s">
        <v>88</v>
      </c>
      <c r="F8" s="6" t="n">
        <v>9000000</v>
      </c>
      <c r="G8" s="3" t="s">
        <v>89</v>
      </c>
      <c r="H8" s="3" t="s">
        <v>90</v>
      </c>
      <c r="I8" s="3" t="s">
        <v>91</v>
      </c>
      <c r="J8" s="3" t="s">
        <v>92</v>
      </c>
      <c r="K8" s="3" t="s">
        <v>93</v>
      </c>
      <c r="L8" s="3" t="s">
        <v>46</v>
      </c>
      <c r="M8" s="3" t="s">
        <v>47</v>
      </c>
      <c r="N8" s="3" t="s">
        <v>48</v>
      </c>
      <c r="O8" s="3" t="s">
        <v>94</v>
      </c>
      <c r="P8" s="3"/>
      <c r="Q8" s="3" t="s">
        <v>35</v>
      </c>
      <c r="R8" s="3" t="s">
        <v>36</v>
      </c>
      <c r="S8" s="3"/>
      <c r="T8" s="3"/>
      <c r="U8" s="3" t="str">
        <f aca="false">IF(L8="E4","Low",IF(OR(R8="Yes",L8="E3"),"Medium","High"))</f>
        <v>High</v>
      </c>
      <c r="V8" s="7"/>
      <c r="W8" s="7"/>
      <c r="X8" s="3" t="s">
        <v>37</v>
      </c>
    </row>
    <row r="9" customFormat="false" ht="128.25" hidden="false" customHeight="true" outlineLevel="0" collapsed="false">
      <c r="A9" s="3" t="s">
        <v>95</v>
      </c>
      <c r="B9" s="4" t="n">
        <v>46222</v>
      </c>
      <c r="C9" s="5" t="n">
        <f aca="false">YEAR(B9)</f>
        <v>2026</v>
      </c>
      <c r="D9" s="3" t="s">
        <v>96</v>
      </c>
      <c r="E9" s="3" t="s">
        <v>97</v>
      </c>
      <c r="F9" s="6" t="n">
        <v>1650000</v>
      </c>
      <c r="G9" s="3" t="s">
        <v>98</v>
      </c>
      <c r="H9" s="3" t="s">
        <v>99</v>
      </c>
      <c r="I9" s="3" t="s">
        <v>100</v>
      </c>
      <c r="J9" s="3" t="s">
        <v>92</v>
      </c>
      <c r="K9" s="3" t="s">
        <v>101</v>
      </c>
      <c r="L9" s="3" t="s">
        <v>31</v>
      </c>
      <c r="M9" s="3" t="s">
        <v>102</v>
      </c>
      <c r="N9" s="3" t="s">
        <v>103</v>
      </c>
      <c r="O9" s="3" t="s">
        <v>104</v>
      </c>
      <c r="P9" s="3"/>
      <c r="Q9" s="3" t="s">
        <v>58</v>
      </c>
      <c r="R9" s="3" t="s">
        <v>36</v>
      </c>
      <c r="S9" s="3"/>
      <c r="T9" s="3"/>
      <c r="U9" s="3" t="str">
        <f aca="false">IF(L9="E4","Low",IF(OR(R9="Yes",L9="E3"),"Medium","High"))</f>
        <v>High</v>
      </c>
      <c r="V9" s="7"/>
      <c r="W9" s="7"/>
      <c r="X9" s="3" t="s">
        <v>37</v>
      </c>
    </row>
    <row r="10" customFormat="false" ht="115.5" hidden="false" customHeight="true" outlineLevel="0" collapsed="false">
      <c r="A10" s="3" t="s">
        <v>105</v>
      </c>
      <c r="B10" s="4" t="n">
        <v>46220</v>
      </c>
      <c r="C10" s="5" t="n">
        <f aca="false">YEAR(B10)</f>
        <v>2026</v>
      </c>
      <c r="D10" s="3" t="s">
        <v>106</v>
      </c>
      <c r="E10" s="3" t="s">
        <v>107</v>
      </c>
      <c r="F10" s="6" t="n">
        <v>4500000</v>
      </c>
      <c r="G10" s="3" t="s">
        <v>108</v>
      </c>
      <c r="H10" s="3" t="s">
        <v>109</v>
      </c>
      <c r="I10" s="3" t="s">
        <v>110</v>
      </c>
      <c r="J10" s="3" t="s">
        <v>111</v>
      </c>
      <c r="K10" s="3" t="s">
        <v>112</v>
      </c>
      <c r="L10" s="3" t="s">
        <v>46</v>
      </c>
      <c r="M10" s="3" t="s">
        <v>32</v>
      </c>
      <c r="N10" s="3" t="s">
        <v>113</v>
      </c>
      <c r="O10" s="3" t="s">
        <v>114</v>
      </c>
      <c r="P10" s="3" t="s">
        <v>115</v>
      </c>
      <c r="Q10" s="3" t="s">
        <v>35</v>
      </c>
      <c r="R10" s="3" t="s">
        <v>36</v>
      </c>
      <c r="S10" s="3"/>
      <c r="T10" s="3"/>
      <c r="U10" s="3" t="str">
        <f aca="false">IF(L10="E4","Low",IF(OR(R10="Yes",L10="E3"),"Medium","High"))</f>
        <v>High</v>
      </c>
      <c r="V10" s="7"/>
      <c r="W10" s="7"/>
      <c r="X10" s="3" t="s">
        <v>37</v>
      </c>
    </row>
    <row r="11" customFormat="false" ht="90" hidden="false" customHeight="true" outlineLevel="0" collapsed="false">
      <c r="A11" s="3" t="s">
        <v>116</v>
      </c>
      <c r="B11" s="4" t="n">
        <v>46218</v>
      </c>
      <c r="C11" s="5" t="n">
        <f aca="false">YEAR(B11)</f>
        <v>2026</v>
      </c>
      <c r="D11" s="3" t="s">
        <v>117</v>
      </c>
      <c r="E11" s="3" t="s">
        <v>118</v>
      </c>
      <c r="F11" s="6" t="n">
        <v>735000</v>
      </c>
      <c r="G11" s="3"/>
      <c r="H11" s="3" t="s">
        <v>119</v>
      </c>
      <c r="I11" s="3" t="s">
        <v>120</v>
      </c>
      <c r="J11" s="3" t="s">
        <v>121</v>
      </c>
      <c r="K11" s="3" t="s">
        <v>122</v>
      </c>
      <c r="L11" s="3" t="s">
        <v>123</v>
      </c>
      <c r="M11" s="3" t="s">
        <v>83</v>
      </c>
      <c r="N11" s="3" t="s">
        <v>84</v>
      </c>
      <c r="O11" s="3" t="s">
        <v>124</v>
      </c>
      <c r="P11" s="3" t="s">
        <v>125</v>
      </c>
      <c r="Q11" s="3" t="s">
        <v>35</v>
      </c>
      <c r="R11" s="3" t="s">
        <v>36</v>
      </c>
      <c r="S11" s="3"/>
      <c r="T11" s="3"/>
      <c r="U11" s="3" t="str">
        <f aca="false">IF(L11="E4","Low",IF(OR(R11="Yes",L11="E3"),"Medium","High"))</f>
        <v>Low</v>
      </c>
      <c r="V11" s="7"/>
      <c r="W11" s="7"/>
      <c r="X11" s="3" t="s">
        <v>37</v>
      </c>
    </row>
    <row r="12" customFormat="false" ht="77.25" hidden="false" customHeight="true" outlineLevel="0" collapsed="false">
      <c r="A12" s="3" t="s">
        <v>126</v>
      </c>
      <c r="B12" s="4" t="n">
        <v>46160</v>
      </c>
      <c r="C12" s="5" t="n">
        <f aca="false">YEAR(B12)</f>
        <v>2026</v>
      </c>
      <c r="D12" s="3" t="s">
        <v>127</v>
      </c>
      <c r="E12" s="3" t="s">
        <v>128</v>
      </c>
      <c r="F12" s="6" t="n">
        <v>11400000</v>
      </c>
      <c r="G12" s="3" t="s">
        <v>129</v>
      </c>
      <c r="H12" s="3" t="s">
        <v>130</v>
      </c>
      <c r="I12" s="3" t="s">
        <v>131</v>
      </c>
      <c r="J12" s="3" t="s">
        <v>132</v>
      </c>
      <c r="K12" s="3" t="s">
        <v>133</v>
      </c>
      <c r="L12" s="3" t="s">
        <v>31</v>
      </c>
      <c r="M12" s="3" t="s">
        <v>47</v>
      </c>
      <c r="N12" s="3" t="s">
        <v>48</v>
      </c>
      <c r="O12" s="3" t="s">
        <v>134</v>
      </c>
      <c r="P12" s="3"/>
      <c r="Q12" s="3" t="s">
        <v>35</v>
      </c>
      <c r="R12" s="3" t="s">
        <v>36</v>
      </c>
      <c r="S12" s="3"/>
      <c r="T12" s="3"/>
      <c r="U12" s="3" t="str">
        <f aca="false">IF(L12="E4","Low",IF(OR(R12="Yes",L12="E3"),"Medium","High"))</f>
        <v>High</v>
      </c>
      <c r="V12" s="7"/>
      <c r="W12" s="7"/>
      <c r="X12" s="3" t="s">
        <v>37</v>
      </c>
    </row>
    <row r="13" customFormat="false" ht="102.75" hidden="false" customHeight="true" outlineLevel="0" collapsed="false">
      <c r="A13" s="3" t="s">
        <v>135</v>
      </c>
      <c r="B13" s="4" t="n">
        <v>46157</v>
      </c>
      <c r="C13" s="5" t="n">
        <f aca="false">YEAR(B13)</f>
        <v>2026</v>
      </c>
      <c r="D13" s="3" t="s">
        <v>136</v>
      </c>
      <c r="E13" s="3" t="s">
        <v>137</v>
      </c>
      <c r="F13" s="6" t="n">
        <v>10700000</v>
      </c>
      <c r="G13" s="3"/>
      <c r="H13" s="3" t="s">
        <v>138</v>
      </c>
      <c r="I13" s="3" t="s">
        <v>139</v>
      </c>
      <c r="J13" s="3" t="s">
        <v>140</v>
      </c>
      <c r="K13" s="3" t="s">
        <v>141</v>
      </c>
      <c r="L13" s="3" t="s">
        <v>46</v>
      </c>
      <c r="M13" s="3" t="s">
        <v>83</v>
      </c>
      <c r="N13" s="3" t="s">
        <v>84</v>
      </c>
      <c r="O13" s="3" t="s">
        <v>142</v>
      </c>
      <c r="P13" s="3"/>
      <c r="Q13" s="3" t="s">
        <v>35</v>
      </c>
      <c r="R13" s="3" t="s">
        <v>36</v>
      </c>
      <c r="S13" s="3"/>
      <c r="T13" s="3"/>
      <c r="U13" s="3" t="str">
        <f aca="false">IF(L13="E4","Low",IF(OR(R13="Yes",L13="E3"),"Medium","High"))</f>
        <v>High</v>
      </c>
      <c r="V13" s="7"/>
      <c r="W13" s="7"/>
      <c r="X13" s="3" t="s">
        <v>37</v>
      </c>
    </row>
    <row r="14" customFormat="false" ht="90" hidden="false" customHeight="true" outlineLevel="0" collapsed="false">
      <c r="A14" s="3" t="s">
        <v>143</v>
      </c>
      <c r="B14" s="4" t="n">
        <v>46139</v>
      </c>
      <c r="C14" s="5" t="n">
        <f aca="false">YEAR(B14)</f>
        <v>2026</v>
      </c>
      <c r="D14" s="3" t="s">
        <v>144</v>
      </c>
      <c r="E14" s="3" t="s">
        <v>145</v>
      </c>
      <c r="F14" s="6" t="n">
        <v>334000</v>
      </c>
      <c r="G14" s="3"/>
      <c r="H14" s="3" t="s">
        <v>146</v>
      </c>
      <c r="I14" s="3" t="s">
        <v>147</v>
      </c>
      <c r="J14" s="3" t="s">
        <v>148</v>
      </c>
      <c r="K14" s="3" t="s">
        <v>149</v>
      </c>
      <c r="L14" s="3" t="s">
        <v>31</v>
      </c>
      <c r="M14" s="3" t="s">
        <v>150</v>
      </c>
      <c r="N14" s="3" t="s">
        <v>103</v>
      </c>
      <c r="O14" s="3" t="s">
        <v>151</v>
      </c>
      <c r="P14" s="3"/>
      <c r="Q14" s="3" t="s">
        <v>35</v>
      </c>
      <c r="R14" s="3" t="s">
        <v>36</v>
      </c>
      <c r="S14" s="3"/>
      <c r="T14" s="3"/>
      <c r="U14" s="3" t="str">
        <f aca="false">IF(L14="E4","Low",IF(OR(R14="Yes",L14="E3"),"Medium","High"))</f>
        <v>High</v>
      </c>
      <c r="V14" s="7"/>
      <c r="W14" s="7"/>
      <c r="X14" s="3" t="s">
        <v>152</v>
      </c>
    </row>
    <row r="15" customFormat="false" ht="90" hidden="false" customHeight="true" outlineLevel="0" collapsed="false">
      <c r="A15" s="3" t="s">
        <v>153</v>
      </c>
      <c r="B15" s="4" t="n">
        <v>46130</v>
      </c>
      <c r="C15" s="5" t="n">
        <f aca="false">YEAR(B15)</f>
        <v>2026</v>
      </c>
      <c r="D15" s="3" t="s">
        <v>154</v>
      </c>
      <c r="E15" s="3" t="s">
        <v>155</v>
      </c>
      <c r="F15" s="6" t="n">
        <v>292000000</v>
      </c>
      <c r="G15" s="3" t="s">
        <v>156</v>
      </c>
      <c r="H15" s="3" t="s">
        <v>157</v>
      </c>
      <c r="I15" s="3" t="s">
        <v>158</v>
      </c>
      <c r="J15" s="3" t="s">
        <v>159</v>
      </c>
      <c r="K15" s="3" t="s">
        <v>160</v>
      </c>
      <c r="L15" s="3" t="s">
        <v>46</v>
      </c>
      <c r="M15" s="3" t="s">
        <v>47</v>
      </c>
      <c r="N15" s="3" t="s">
        <v>48</v>
      </c>
      <c r="O15" s="3" t="s">
        <v>161</v>
      </c>
      <c r="P15" s="3" t="s">
        <v>162</v>
      </c>
      <c r="Q15" s="3" t="s">
        <v>163</v>
      </c>
      <c r="R15" s="3" t="s">
        <v>59</v>
      </c>
      <c r="S15" s="3" t="s">
        <v>164</v>
      </c>
      <c r="T15" s="3" t="s">
        <v>84</v>
      </c>
      <c r="U15" s="3" t="str">
        <f aca="false">IF(L15="E4","Low",IF(OR(R15="Yes",L15="E3"),"Medium","High"))</f>
        <v>Medium</v>
      </c>
      <c r="V15" s="7"/>
      <c r="W15" s="7"/>
      <c r="X15" s="3" t="s">
        <v>165</v>
      </c>
    </row>
    <row r="16" customFormat="false" ht="77.25" hidden="false" customHeight="true" outlineLevel="0" collapsed="false">
      <c r="A16" s="3" t="s">
        <v>166</v>
      </c>
      <c r="B16" s="4" t="n">
        <v>46125</v>
      </c>
      <c r="C16" s="5" t="n">
        <f aca="false">YEAR(B16)</f>
        <v>2026</v>
      </c>
      <c r="D16" s="3" t="s">
        <v>167</v>
      </c>
      <c r="E16" s="3" t="s">
        <v>168</v>
      </c>
      <c r="F16" s="6" t="n">
        <v>2500000</v>
      </c>
      <c r="G16" s="3"/>
      <c r="H16" s="3" t="s">
        <v>169</v>
      </c>
      <c r="I16" s="3" t="s">
        <v>170</v>
      </c>
      <c r="J16" s="3" t="s">
        <v>171</v>
      </c>
      <c r="K16" s="3" t="s">
        <v>172</v>
      </c>
      <c r="L16" s="3" t="s">
        <v>46</v>
      </c>
      <c r="M16" s="3" t="s">
        <v>47</v>
      </c>
      <c r="N16" s="3" t="s">
        <v>48</v>
      </c>
      <c r="O16" s="3" t="s">
        <v>173</v>
      </c>
      <c r="P16" s="3"/>
      <c r="Q16" s="3" t="s">
        <v>35</v>
      </c>
      <c r="R16" s="3" t="s">
        <v>36</v>
      </c>
      <c r="S16" s="3"/>
      <c r="T16" s="3"/>
      <c r="U16" s="3" t="str">
        <f aca="false">IF(L16="E4","Low",IF(OR(R16="Yes",L16="E3"),"Medium","High"))</f>
        <v>High</v>
      </c>
      <c r="V16" s="7"/>
      <c r="W16" s="7"/>
      <c r="X16" s="3" t="s">
        <v>174</v>
      </c>
    </row>
    <row r="17" customFormat="false" ht="115.5" hidden="false" customHeight="true" outlineLevel="0" collapsed="false">
      <c r="A17" s="3" t="s">
        <v>175</v>
      </c>
      <c r="B17" s="4" t="n">
        <v>46094</v>
      </c>
      <c r="C17" s="5" t="n">
        <f aca="false">YEAR(B17)</f>
        <v>2026</v>
      </c>
      <c r="D17" s="3" t="s">
        <v>176</v>
      </c>
      <c r="E17" s="3" t="s">
        <v>177</v>
      </c>
      <c r="F17" s="6" t="n">
        <v>47500000</v>
      </c>
      <c r="G17" s="3"/>
      <c r="H17" s="3" t="s">
        <v>178</v>
      </c>
      <c r="I17" s="3" t="s">
        <v>179</v>
      </c>
      <c r="J17" s="3"/>
      <c r="K17" s="3"/>
      <c r="L17" s="3" t="s">
        <v>180</v>
      </c>
      <c r="M17" s="3" t="s">
        <v>150</v>
      </c>
      <c r="N17" s="3" t="s">
        <v>103</v>
      </c>
      <c r="O17" s="3" t="s">
        <v>181</v>
      </c>
      <c r="P17" s="3" t="s">
        <v>182</v>
      </c>
      <c r="Q17" s="3" t="s">
        <v>35</v>
      </c>
      <c r="R17" s="3" t="s">
        <v>36</v>
      </c>
      <c r="S17" s="3"/>
      <c r="T17" s="3"/>
      <c r="U17" s="3" t="str">
        <f aca="false">IF(L17="E4","Low",IF(OR(R17="Yes",L17="E3"),"Medium","High"))</f>
        <v>Medium</v>
      </c>
      <c r="V17" s="7"/>
      <c r="W17" s="7"/>
      <c r="X17" s="3" t="s">
        <v>37</v>
      </c>
    </row>
    <row r="18" customFormat="false" ht="77.25" hidden="false" customHeight="true" outlineLevel="0" collapsed="false">
      <c r="A18" s="3" t="s">
        <v>183</v>
      </c>
      <c r="B18" s="4" t="n">
        <v>46074</v>
      </c>
      <c r="C18" s="5" t="n">
        <f aca="false">YEAR(B18)</f>
        <v>2026</v>
      </c>
      <c r="D18" s="3" t="s">
        <v>184</v>
      </c>
      <c r="E18" s="3" t="s">
        <v>185</v>
      </c>
      <c r="F18" s="6" t="n">
        <v>4300000</v>
      </c>
      <c r="G18" s="3"/>
      <c r="H18" s="3" t="s">
        <v>186</v>
      </c>
      <c r="I18" s="3" t="s">
        <v>187</v>
      </c>
      <c r="J18" s="3"/>
      <c r="K18" s="3"/>
      <c r="L18" s="3" t="s">
        <v>180</v>
      </c>
      <c r="M18" s="3" t="s">
        <v>83</v>
      </c>
      <c r="N18" s="3" t="s">
        <v>84</v>
      </c>
      <c r="O18" s="3" t="s">
        <v>188</v>
      </c>
      <c r="P18" s="3" t="s">
        <v>189</v>
      </c>
      <c r="Q18" s="3" t="s">
        <v>35</v>
      </c>
      <c r="R18" s="3" t="s">
        <v>36</v>
      </c>
      <c r="S18" s="3"/>
      <c r="T18" s="3"/>
      <c r="U18" s="3" t="str">
        <f aca="false">IF(L18="E4","Low",IF(OR(R18="Yes",L18="E3"),"Medium","High"))</f>
        <v>Medium</v>
      </c>
      <c r="V18" s="7"/>
      <c r="W18" s="7"/>
      <c r="X18" s="3" t="s">
        <v>174</v>
      </c>
    </row>
    <row r="19" customFormat="false" ht="128.25" hidden="false" customHeight="true" outlineLevel="0" collapsed="false">
      <c r="A19" s="3" t="s">
        <v>190</v>
      </c>
      <c r="B19" s="4" t="n">
        <v>46054</v>
      </c>
      <c r="C19" s="5" t="n">
        <f aca="false">YEAR(B19)</f>
        <v>2026</v>
      </c>
      <c r="D19" s="3" t="s">
        <v>191</v>
      </c>
      <c r="E19" s="3" t="s">
        <v>192</v>
      </c>
      <c r="F19" s="6" t="n">
        <v>3000000</v>
      </c>
      <c r="G19" s="3"/>
      <c r="H19" s="3" t="s">
        <v>193</v>
      </c>
      <c r="I19" s="3" t="s">
        <v>194</v>
      </c>
      <c r="J19" s="3" t="s">
        <v>195</v>
      </c>
      <c r="K19" s="3" t="s">
        <v>196</v>
      </c>
      <c r="L19" s="3" t="s">
        <v>46</v>
      </c>
      <c r="M19" s="3" t="s">
        <v>47</v>
      </c>
      <c r="N19" s="3" t="s">
        <v>48</v>
      </c>
      <c r="O19" s="3" t="s">
        <v>197</v>
      </c>
      <c r="P19" s="3"/>
      <c r="Q19" s="3" t="s">
        <v>35</v>
      </c>
      <c r="R19" s="3" t="s">
        <v>36</v>
      </c>
      <c r="S19" s="3"/>
      <c r="T19" s="3"/>
      <c r="U19" s="3" t="str">
        <f aca="false">IF(L19="E4","Low",IF(OR(R19="Yes",L19="E3"),"Medium","High"))</f>
        <v>High</v>
      </c>
      <c r="V19" s="7"/>
      <c r="W19" s="7"/>
      <c r="X19" s="3" t="s">
        <v>37</v>
      </c>
    </row>
    <row r="20" customFormat="false" ht="77.25" hidden="false" customHeight="true" outlineLevel="0" collapsed="false">
      <c r="A20" s="3" t="s">
        <v>198</v>
      </c>
      <c r="B20" s="4" t="n">
        <v>46043</v>
      </c>
      <c r="C20" s="5" t="n">
        <f aca="false">YEAR(B20)</f>
        <v>2026</v>
      </c>
      <c r="D20" s="3" t="s">
        <v>199</v>
      </c>
      <c r="E20" s="3" t="s">
        <v>200</v>
      </c>
      <c r="F20" s="6" t="n">
        <v>7000000</v>
      </c>
      <c r="G20" s="3"/>
      <c r="H20" s="3" t="s">
        <v>201</v>
      </c>
      <c r="I20" s="3" t="s">
        <v>202</v>
      </c>
      <c r="J20" s="3" t="s">
        <v>203</v>
      </c>
      <c r="K20" s="3"/>
      <c r="L20" s="3" t="s">
        <v>31</v>
      </c>
      <c r="M20" s="3" t="s">
        <v>47</v>
      </c>
      <c r="N20" s="3" t="s">
        <v>48</v>
      </c>
      <c r="O20" s="3" t="s">
        <v>204</v>
      </c>
      <c r="P20" s="3" t="s">
        <v>205</v>
      </c>
      <c r="Q20" s="3" t="s">
        <v>35</v>
      </c>
      <c r="R20" s="3" t="s">
        <v>36</v>
      </c>
      <c r="S20" s="3"/>
      <c r="T20" s="3"/>
      <c r="U20" s="3" t="str">
        <f aca="false">IF(L20="E4","Low",IF(OR(R20="Yes",L20="E3"),"Medium","High"))</f>
        <v>High</v>
      </c>
      <c r="V20" s="7"/>
      <c r="W20" s="7"/>
      <c r="X20" s="3" t="s">
        <v>174</v>
      </c>
    </row>
    <row r="21" customFormat="false" ht="90" hidden="false" customHeight="true" outlineLevel="0" collapsed="false">
      <c r="A21" s="3" t="s">
        <v>206</v>
      </c>
      <c r="B21" s="4" t="n">
        <v>45957</v>
      </c>
      <c r="C21" s="5" t="n">
        <f aca="false">YEAR(B21)</f>
        <v>2025</v>
      </c>
      <c r="D21" s="3" t="s">
        <v>207</v>
      </c>
      <c r="E21" s="3" t="s">
        <v>208</v>
      </c>
      <c r="F21" s="6" t="n">
        <v>17693</v>
      </c>
      <c r="G21" s="3"/>
      <c r="H21" s="3" t="s">
        <v>209</v>
      </c>
      <c r="I21" s="3" t="s">
        <v>210</v>
      </c>
      <c r="J21" s="3" t="s">
        <v>211</v>
      </c>
      <c r="K21" s="3" t="s">
        <v>212</v>
      </c>
      <c r="L21" s="3" t="s">
        <v>31</v>
      </c>
      <c r="M21" s="3" t="s">
        <v>83</v>
      </c>
      <c r="N21" s="3" t="s">
        <v>84</v>
      </c>
      <c r="O21" s="3" t="s">
        <v>213</v>
      </c>
      <c r="P21" s="3"/>
      <c r="Q21" s="3" t="s">
        <v>35</v>
      </c>
      <c r="R21" s="3" t="s">
        <v>36</v>
      </c>
      <c r="S21" s="3"/>
      <c r="T21" s="3"/>
      <c r="U21" s="3" t="str">
        <f aca="false">IF(L21="E4","Low",IF(OR(R21="Yes",L21="E3"),"Medium","High"))</f>
        <v>High</v>
      </c>
      <c r="V21" s="7"/>
      <c r="W21" s="7"/>
      <c r="X21" s="3" t="s">
        <v>152</v>
      </c>
    </row>
    <row r="22" customFormat="false" ht="141" hidden="false" customHeight="true" outlineLevel="0" collapsed="false">
      <c r="A22" s="3" t="s">
        <v>214</v>
      </c>
      <c r="B22" s="4" t="n">
        <v>45924</v>
      </c>
      <c r="C22" s="5" t="n">
        <f aca="false">YEAR(B22)</f>
        <v>2025</v>
      </c>
      <c r="D22" s="3" t="s">
        <v>215</v>
      </c>
      <c r="E22" s="3" t="s">
        <v>216</v>
      </c>
      <c r="F22" s="6" t="n">
        <v>3000000</v>
      </c>
      <c r="G22" s="3"/>
      <c r="H22" s="3" t="s">
        <v>217</v>
      </c>
      <c r="I22" s="3" t="s">
        <v>218</v>
      </c>
      <c r="J22" s="3" t="s">
        <v>219</v>
      </c>
      <c r="K22" s="3" t="s">
        <v>220</v>
      </c>
      <c r="L22" s="3" t="s">
        <v>31</v>
      </c>
      <c r="M22" s="3" t="s">
        <v>47</v>
      </c>
      <c r="N22" s="3" t="s">
        <v>48</v>
      </c>
      <c r="O22" s="3" t="s">
        <v>221</v>
      </c>
      <c r="P22" s="3"/>
      <c r="Q22" s="3" t="s">
        <v>222</v>
      </c>
      <c r="R22" s="3" t="s">
        <v>59</v>
      </c>
      <c r="S22" s="3" t="s">
        <v>83</v>
      </c>
      <c r="T22" s="3" t="s">
        <v>84</v>
      </c>
      <c r="U22" s="3" t="str">
        <f aca="false">IF(L22="E4","Low",IF(OR(R22="Yes",L22="E3"),"Medium","High"))</f>
        <v>Medium</v>
      </c>
      <c r="V22" s="7"/>
      <c r="W22" s="7"/>
      <c r="X22" s="3" t="s">
        <v>223</v>
      </c>
    </row>
    <row r="23" customFormat="false" ht="90" hidden="false" customHeight="true" outlineLevel="0" collapsed="false">
      <c r="A23" s="3" t="s">
        <v>224</v>
      </c>
      <c r="B23" s="4" t="n">
        <v>45923</v>
      </c>
      <c r="C23" s="5" t="n">
        <f aca="false">YEAR(B23)</f>
        <v>2025</v>
      </c>
      <c r="D23" s="3" t="s">
        <v>225</v>
      </c>
      <c r="E23" s="3" t="s">
        <v>226</v>
      </c>
      <c r="F23" s="6" t="n">
        <v>1200000</v>
      </c>
      <c r="G23" s="3"/>
      <c r="H23" s="3" t="s">
        <v>227</v>
      </c>
      <c r="I23" s="3" t="s">
        <v>228</v>
      </c>
      <c r="J23" s="3" t="s">
        <v>229</v>
      </c>
      <c r="K23" s="3" t="s">
        <v>230</v>
      </c>
      <c r="L23" s="3" t="s">
        <v>31</v>
      </c>
      <c r="M23" s="3" t="s">
        <v>83</v>
      </c>
      <c r="N23" s="3" t="s">
        <v>84</v>
      </c>
      <c r="O23" s="3" t="s">
        <v>231</v>
      </c>
      <c r="P23" s="3"/>
      <c r="Q23" s="3" t="s">
        <v>35</v>
      </c>
      <c r="R23" s="3" t="s">
        <v>36</v>
      </c>
      <c r="S23" s="3"/>
      <c r="T23" s="3"/>
      <c r="U23" s="3" t="str">
        <f aca="false">IF(L23="E4","Low",IF(OR(R23="Yes",L23="E3"),"Medium","High"))</f>
        <v>High</v>
      </c>
      <c r="V23" s="7"/>
      <c r="W23" s="7"/>
      <c r="X23" s="3" t="s">
        <v>223</v>
      </c>
    </row>
    <row r="24" customFormat="false" ht="115.5" hidden="false" customHeight="true" outlineLevel="0" collapsed="false">
      <c r="A24" s="3" t="s">
        <v>232</v>
      </c>
      <c r="B24" s="4" t="n">
        <v>45914</v>
      </c>
      <c r="C24" s="5" t="n">
        <f aca="false">YEAR(B24)</f>
        <v>2025</v>
      </c>
      <c r="D24" s="3" t="s">
        <v>233</v>
      </c>
      <c r="E24" s="3" t="s">
        <v>234</v>
      </c>
      <c r="F24" s="6" t="n">
        <v>7640000</v>
      </c>
      <c r="G24" s="3"/>
      <c r="H24" s="3" t="s">
        <v>235</v>
      </c>
      <c r="I24" s="3" t="s">
        <v>236</v>
      </c>
      <c r="J24" s="3" t="s">
        <v>237</v>
      </c>
      <c r="K24" s="3" t="s">
        <v>238</v>
      </c>
      <c r="L24" s="3" t="s">
        <v>31</v>
      </c>
      <c r="M24" s="3" t="s">
        <v>83</v>
      </c>
      <c r="N24" s="3" t="s">
        <v>84</v>
      </c>
      <c r="O24" s="3" t="s">
        <v>239</v>
      </c>
      <c r="P24" s="3"/>
      <c r="Q24" s="3" t="s">
        <v>35</v>
      </c>
      <c r="R24" s="3" t="s">
        <v>36</v>
      </c>
      <c r="S24" s="3"/>
      <c r="T24" s="3"/>
      <c r="U24" s="3" t="str">
        <f aca="false">IF(L24="E4","Low",IF(OR(R24="Yes",L24="E3"),"Medium","High"))</f>
        <v>High</v>
      </c>
      <c r="V24" s="7"/>
      <c r="W24" s="7"/>
      <c r="X24" s="3" t="s">
        <v>37</v>
      </c>
    </row>
    <row r="25" customFormat="false" ht="128.25" hidden="false" customHeight="true" outlineLevel="0" collapsed="false">
      <c r="A25" s="3" t="s">
        <v>240</v>
      </c>
      <c r="B25" s="4" t="n">
        <v>45909</v>
      </c>
      <c r="C25" s="5" t="n">
        <f aca="false">YEAR(B25)</f>
        <v>2025</v>
      </c>
      <c r="D25" s="3" t="s">
        <v>241</v>
      </c>
      <c r="E25" s="3" t="s">
        <v>242</v>
      </c>
      <c r="F25" s="6" t="n">
        <v>2400000</v>
      </c>
      <c r="G25" s="3"/>
      <c r="H25" s="3" t="s">
        <v>243</v>
      </c>
      <c r="I25" s="3" t="s">
        <v>244</v>
      </c>
      <c r="J25" s="3" t="s">
        <v>245</v>
      </c>
      <c r="K25" s="3" t="s">
        <v>246</v>
      </c>
      <c r="L25" s="3" t="s">
        <v>46</v>
      </c>
      <c r="M25" s="3" t="s">
        <v>102</v>
      </c>
      <c r="N25" s="3" t="s">
        <v>103</v>
      </c>
      <c r="O25" s="3" t="s">
        <v>247</v>
      </c>
      <c r="P25" s="3"/>
      <c r="Q25" s="3" t="s">
        <v>248</v>
      </c>
      <c r="R25" s="3" t="s">
        <v>59</v>
      </c>
      <c r="S25" s="3" t="s">
        <v>83</v>
      </c>
      <c r="T25" s="3" t="s">
        <v>84</v>
      </c>
      <c r="U25" s="3" t="str">
        <f aca="false">IF(L25="E4","Low",IF(OR(R25="Yes",L25="E3"),"Medium","High"))</f>
        <v>Medium</v>
      </c>
      <c r="V25" s="7"/>
      <c r="W25" s="7"/>
      <c r="X25" s="3" t="s">
        <v>37</v>
      </c>
    </row>
    <row r="26" customFormat="false" ht="90" hidden="false" customHeight="true" outlineLevel="0" collapsed="false">
      <c r="A26" s="3" t="s">
        <v>249</v>
      </c>
      <c r="B26" s="4" t="n">
        <v>45847</v>
      </c>
      <c r="C26" s="5" t="n">
        <f aca="false">YEAR(B26)</f>
        <v>2025</v>
      </c>
      <c r="D26" s="3" t="s">
        <v>250</v>
      </c>
      <c r="E26" s="3" t="s">
        <v>251</v>
      </c>
      <c r="F26" s="6" t="n">
        <v>5000000</v>
      </c>
      <c r="G26" s="3"/>
      <c r="H26" s="3" t="s">
        <v>252</v>
      </c>
      <c r="I26" s="3" t="s">
        <v>253</v>
      </c>
      <c r="J26" s="3" t="s">
        <v>254</v>
      </c>
      <c r="K26" s="3" t="s">
        <v>255</v>
      </c>
      <c r="L26" s="3" t="s">
        <v>31</v>
      </c>
      <c r="M26" s="3" t="s">
        <v>47</v>
      </c>
      <c r="N26" s="3" t="s">
        <v>48</v>
      </c>
      <c r="O26" s="3" t="s">
        <v>256</v>
      </c>
      <c r="P26" s="3"/>
      <c r="Q26" s="3" t="s">
        <v>35</v>
      </c>
      <c r="R26" s="3" t="s">
        <v>36</v>
      </c>
      <c r="S26" s="3"/>
      <c r="T26" s="3"/>
      <c r="U26" s="3" t="str">
        <f aca="false">IF(L26="E4","Low",IF(OR(R26="Yes",L26="E3"),"Medium","High"))</f>
        <v>High</v>
      </c>
      <c r="V26" s="7"/>
      <c r="W26" s="7"/>
      <c r="X26" s="3" t="s">
        <v>37</v>
      </c>
    </row>
    <row r="27" customFormat="false" ht="102.75" hidden="false" customHeight="true" outlineLevel="0" collapsed="false">
      <c r="A27" s="3" t="s">
        <v>257</v>
      </c>
      <c r="B27" s="4" t="n">
        <v>45840</v>
      </c>
      <c r="C27" s="5" t="n">
        <f aca="false">YEAR(B27)</f>
        <v>2025</v>
      </c>
      <c r="D27" s="3" t="s">
        <v>258</v>
      </c>
      <c r="E27" s="3" t="s">
        <v>259</v>
      </c>
      <c r="F27" s="6" t="n">
        <v>1100000</v>
      </c>
      <c r="G27" s="3"/>
      <c r="H27" s="3" t="s">
        <v>260</v>
      </c>
      <c r="I27" s="3" t="s">
        <v>261</v>
      </c>
      <c r="J27" s="3"/>
      <c r="K27" s="3"/>
      <c r="L27" s="3" t="s">
        <v>180</v>
      </c>
      <c r="M27" s="3" t="s">
        <v>150</v>
      </c>
      <c r="N27" s="3" t="s">
        <v>113</v>
      </c>
      <c r="O27" s="3" t="s">
        <v>262</v>
      </c>
      <c r="P27" s="3" t="s">
        <v>263</v>
      </c>
      <c r="Q27" s="3" t="s">
        <v>35</v>
      </c>
      <c r="R27" s="3" t="s">
        <v>36</v>
      </c>
      <c r="S27" s="3"/>
      <c r="T27" s="3"/>
      <c r="U27" s="3" t="str">
        <f aca="false">IF(L27="E4","Low",IF(OR(R27="Yes",L27="E3"),"Medium","High"))</f>
        <v>Medium</v>
      </c>
      <c r="V27" s="7"/>
      <c r="W27" s="7"/>
      <c r="X27" s="3" t="s">
        <v>37</v>
      </c>
    </row>
    <row r="28" customFormat="false" ht="115.5" hidden="false" customHeight="true" outlineLevel="0" collapsed="false">
      <c r="A28" s="3" t="s">
        <v>264</v>
      </c>
      <c r="B28" s="4" t="n">
        <v>45809</v>
      </c>
      <c r="C28" s="5" t="n">
        <f aca="false">YEAR(B28)</f>
        <v>2025</v>
      </c>
      <c r="D28" s="3" t="s">
        <v>265</v>
      </c>
      <c r="E28" s="3" t="s">
        <v>266</v>
      </c>
      <c r="F28" s="6" t="n">
        <v>3760000</v>
      </c>
      <c r="G28" s="3"/>
      <c r="H28" s="3" t="s">
        <v>267</v>
      </c>
      <c r="I28" s="3" t="s">
        <v>268</v>
      </c>
      <c r="J28" s="3" t="s">
        <v>269</v>
      </c>
      <c r="K28" s="3" t="s">
        <v>270</v>
      </c>
      <c r="L28" s="3" t="s">
        <v>46</v>
      </c>
      <c r="M28" s="3" t="s">
        <v>164</v>
      </c>
      <c r="N28" s="3" t="s">
        <v>84</v>
      </c>
      <c r="O28" s="3" t="s">
        <v>271</v>
      </c>
      <c r="P28" s="3"/>
      <c r="Q28" s="3" t="s">
        <v>272</v>
      </c>
      <c r="R28" s="3" t="s">
        <v>59</v>
      </c>
      <c r="S28" s="3" t="s">
        <v>83</v>
      </c>
      <c r="T28" s="3" t="s">
        <v>84</v>
      </c>
      <c r="U28" s="3" t="str">
        <f aca="false">IF(L28="E4","Low",IF(OR(R28="Yes",L28="E3"),"Medium","High"))</f>
        <v>Medium</v>
      </c>
      <c r="V28" s="7"/>
      <c r="W28" s="7"/>
      <c r="X28" s="3" t="s">
        <v>37</v>
      </c>
    </row>
    <row r="29" customFormat="false" ht="153" hidden="false" customHeight="true" outlineLevel="0" collapsed="false">
      <c r="A29" s="3" t="s">
        <v>273</v>
      </c>
      <c r="B29" s="4" t="n">
        <v>45655</v>
      </c>
      <c r="C29" s="5" t="n">
        <f aca="false">YEAR(B29)</f>
        <v>2024</v>
      </c>
      <c r="D29" s="3" t="s">
        <v>274</v>
      </c>
      <c r="E29" s="3" t="s">
        <v>275</v>
      </c>
      <c r="F29" s="6" t="n">
        <v>1300000</v>
      </c>
      <c r="G29" s="3"/>
      <c r="H29" s="3" t="s">
        <v>276</v>
      </c>
      <c r="I29" s="3" t="s">
        <v>277</v>
      </c>
      <c r="J29" s="3" t="s">
        <v>278</v>
      </c>
      <c r="K29" s="3"/>
      <c r="L29" s="3" t="s">
        <v>31</v>
      </c>
      <c r="M29" s="3" t="s">
        <v>32</v>
      </c>
      <c r="N29" s="3" t="s">
        <v>113</v>
      </c>
      <c r="O29" s="3" t="s">
        <v>279</v>
      </c>
      <c r="P29" s="3"/>
      <c r="Q29" s="3" t="s">
        <v>35</v>
      </c>
      <c r="R29" s="3" t="s">
        <v>36</v>
      </c>
      <c r="S29" s="3"/>
      <c r="T29" s="3"/>
      <c r="U29" s="3" t="str">
        <f aca="false">IF(L29="E4","Low",IF(OR(R29="Yes",L29="E3"),"Medium","High"))</f>
        <v>High</v>
      </c>
      <c r="V29" s="7"/>
      <c r="W29" s="7"/>
      <c r="X29" s="3" t="s">
        <v>37</v>
      </c>
    </row>
    <row r="30" customFormat="false" ht="128.25" hidden="false" customHeight="true" outlineLevel="0" collapsed="false">
      <c r="A30" s="3" t="s">
        <v>280</v>
      </c>
      <c r="B30" s="4" t="n">
        <v>45510</v>
      </c>
      <c r="C30" s="5" t="n">
        <f aca="false">YEAR(B30)</f>
        <v>2024</v>
      </c>
      <c r="D30" s="3" t="s">
        <v>281</v>
      </c>
      <c r="E30" s="3" t="s">
        <v>282</v>
      </c>
      <c r="F30" s="6" t="n">
        <v>12000000</v>
      </c>
      <c r="G30" s="3"/>
      <c r="H30" s="3" t="s">
        <v>283</v>
      </c>
      <c r="I30" s="3" t="s">
        <v>284</v>
      </c>
      <c r="J30" s="3" t="s">
        <v>285</v>
      </c>
      <c r="K30" s="3"/>
      <c r="L30" s="3" t="s">
        <v>31</v>
      </c>
      <c r="M30" s="3" t="s">
        <v>150</v>
      </c>
      <c r="N30" s="3" t="s">
        <v>48</v>
      </c>
      <c r="O30" s="3" t="s">
        <v>286</v>
      </c>
      <c r="P30" s="3"/>
      <c r="Q30" s="3" t="s">
        <v>35</v>
      </c>
      <c r="R30" s="3" t="s">
        <v>36</v>
      </c>
      <c r="S30" s="3"/>
      <c r="T30" s="3"/>
      <c r="U30" s="3" t="str">
        <f aca="false">IF(L30="E4","Low",IF(OR(R30="Yes",L30="E3"),"Medium","High"))</f>
        <v>High</v>
      </c>
      <c r="V30" s="7"/>
      <c r="W30" s="7"/>
      <c r="X30" s="3" t="s">
        <v>37</v>
      </c>
    </row>
    <row r="31" customFormat="false" ht="128.25" hidden="false" customHeight="true" outlineLevel="0" collapsed="false">
      <c r="A31" s="3" t="s">
        <v>287</v>
      </c>
      <c r="B31" s="4" t="n">
        <v>45489</v>
      </c>
      <c r="C31" s="5" t="n">
        <f aca="false">YEAR(B31)</f>
        <v>2024</v>
      </c>
      <c r="D31" s="3" t="s">
        <v>288</v>
      </c>
      <c r="E31" s="3" t="s">
        <v>289</v>
      </c>
      <c r="F31" s="6" t="n">
        <v>11600000</v>
      </c>
      <c r="G31" s="3"/>
      <c r="H31" s="3" t="s">
        <v>290</v>
      </c>
      <c r="I31" s="3" t="s">
        <v>291</v>
      </c>
      <c r="J31" s="3" t="s">
        <v>292</v>
      </c>
      <c r="K31" s="3"/>
      <c r="L31" s="3" t="s">
        <v>46</v>
      </c>
      <c r="M31" s="3" t="s">
        <v>150</v>
      </c>
      <c r="N31" s="3" t="s">
        <v>103</v>
      </c>
      <c r="O31" s="3" t="s">
        <v>293</v>
      </c>
      <c r="P31" s="3" t="s">
        <v>294</v>
      </c>
      <c r="Q31" s="3" t="s">
        <v>35</v>
      </c>
      <c r="R31" s="3" t="s">
        <v>36</v>
      </c>
      <c r="S31" s="3"/>
      <c r="T31" s="3"/>
      <c r="U31" s="3" t="str">
        <f aca="false">IF(L31="E4","Low",IF(OR(R31="Yes",L31="E3"),"Medium","High"))</f>
        <v>High</v>
      </c>
      <c r="V31" s="7"/>
      <c r="W31" s="7"/>
      <c r="X31" s="3" t="s">
        <v>152</v>
      </c>
    </row>
    <row r="32" customFormat="false" ht="128.25" hidden="false" customHeight="true" outlineLevel="0" collapsed="false">
      <c r="A32" s="3" t="s">
        <v>295</v>
      </c>
      <c r="B32" s="4" t="n">
        <v>45426</v>
      </c>
      <c r="C32" s="5" t="n">
        <f aca="false">YEAR(B32)</f>
        <v>2024</v>
      </c>
      <c r="D32" s="3" t="s">
        <v>296</v>
      </c>
      <c r="E32" s="3" t="s">
        <v>185</v>
      </c>
      <c r="F32" s="6" t="n">
        <v>4300000</v>
      </c>
      <c r="G32" s="3"/>
      <c r="H32" s="3" t="s">
        <v>297</v>
      </c>
      <c r="I32" s="3" t="s">
        <v>298</v>
      </c>
      <c r="J32" s="3" t="s">
        <v>299</v>
      </c>
      <c r="K32" s="3" t="s">
        <v>300</v>
      </c>
      <c r="L32" s="3" t="s">
        <v>31</v>
      </c>
      <c r="M32" s="3" t="s">
        <v>83</v>
      </c>
      <c r="N32" s="3" t="s">
        <v>84</v>
      </c>
      <c r="O32" s="3" t="s">
        <v>301</v>
      </c>
      <c r="P32" s="3"/>
      <c r="Q32" s="3" t="s">
        <v>302</v>
      </c>
      <c r="R32" s="3" t="s">
        <v>36</v>
      </c>
      <c r="S32" s="3"/>
      <c r="T32" s="3"/>
      <c r="U32" s="3" t="str">
        <f aca="false">IF(L32="E4","Low",IF(OR(R32="Yes",L32="E3"),"Medium","High"))</f>
        <v>High</v>
      </c>
      <c r="V32" s="7"/>
      <c r="W32" s="7"/>
      <c r="X32" s="3" t="s">
        <v>37</v>
      </c>
    </row>
    <row r="33" customFormat="false" ht="115.5" hidden="false" customHeight="true" outlineLevel="0" collapsed="false">
      <c r="A33" s="3" t="s">
        <v>303</v>
      </c>
      <c r="B33" s="4" t="n">
        <v>45408</v>
      </c>
      <c r="C33" s="5" t="n">
        <f aca="false">YEAR(B33)</f>
        <v>2024</v>
      </c>
      <c r="D33" s="3" t="s">
        <v>304</v>
      </c>
      <c r="E33" s="3" t="s">
        <v>305</v>
      </c>
      <c r="F33" s="6" t="n">
        <v>299000</v>
      </c>
      <c r="G33" s="3"/>
      <c r="H33" s="3" t="s">
        <v>306</v>
      </c>
      <c r="I33" s="3" t="s">
        <v>307</v>
      </c>
      <c r="J33" s="3" t="s">
        <v>308</v>
      </c>
      <c r="K33" s="3"/>
      <c r="L33" s="3" t="s">
        <v>46</v>
      </c>
      <c r="M33" s="3" t="s">
        <v>47</v>
      </c>
      <c r="N33" s="3" t="s">
        <v>48</v>
      </c>
      <c r="O33" s="3" t="s">
        <v>309</v>
      </c>
      <c r="P33" s="3" t="s">
        <v>310</v>
      </c>
      <c r="Q33" s="3" t="s">
        <v>35</v>
      </c>
      <c r="R33" s="3" t="s">
        <v>36</v>
      </c>
      <c r="S33" s="3"/>
      <c r="T33" s="3"/>
      <c r="U33" s="3" t="str">
        <f aca="false">IF(L33="E4","Low",IF(OR(R33="Yes",L33="E3"),"Medium","High"))</f>
        <v>High</v>
      </c>
      <c r="V33" s="7"/>
      <c r="W33" s="7"/>
      <c r="X33" s="3" t="s">
        <v>37</v>
      </c>
    </row>
    <row r="34" customFormat="false" ht="128.25" hidden="false" customHeight="true" outlineLevel="0" collapsed="false">
      <c r="A34" s="3" t="s">
        <v>311</v>
      </c>
      <c r="B34" s="4" t="n">
        <v>45406</v>
      </c>
      <c r="C34" s="5" t="n">
        <f aca="false">YEAR(B34)</f>
        <v>2024</v>
      </c>
      <c r="D34" s="3" t="s">
        <v>312</v>
      </c>
      <c r="E34" s="3" t="s">
        <v>313</v>
      </c>
      <c r="F34" s="6" t="n">
        <v>1600000</v>
      </c>
      <c r="G34" s="3"/>
      <c r="H34" s="3" t="s">
        <v>314</v>
      </c>
      <c r="I34" s="3" t="s">
        <v>315</v>
      </c>
      <c r="J34" s="3" t="s">
        <v>316</v>
      </c>
      <c r="K34" s="3" t="s">
        <v>317</v>
      </c>
      <c r="L34" s="3" t="s">
        <v>31</v>
      </c>
      <c r="M34" s="3" t="s">
        <v>150</v>
      </c>
      <c r="N34" s="3" t="s">
        <v>103</v>
      </c>
      <c r="O34" s="3" t="s">
        <v>318</v>
      </c>
      <c r="P34" s="3"/>
      <c r="Q34" s="3" t="s">
        <v>35</v>
      </c>
      <c r="R34" s="3" t="s">
        <v>36</v>
      </c>
      <c r="S34" s="3"/>
      <c r="T34" s="3"/>
      <c r="U34" s="3" t="str">
        <f aca="false">IF(L34="E4","Low",IF(OR(R34="Yes",L34="E3"),"Medium","High"))</f>
        <v>High</v>
      </c>
      <c r="V34" s="7"/>
      <c r="W34" s="7"/>
      <c r="X34" s="3" t="s">
        <v>37</v>
      </c>
    </row>
    <row r="35" customFormat="false" ht="115.5" hidden="false" customHeight="true" outlineLevel="0" collapsed="false">
      <c r="A35" s="3" t="s">
        <v>319</v>
      </c>
      <c r="B35" s="4" t="n">
        <v>45307</v>
      </c>
      <c r="C35" s="5" t="n">
        <f aca="false">YEAR(B35)</f>
        <v>2024</v>
      </c>
      <c r="D35" s="3" t="s">
        <v>320</v>
      </c>
      <c r="E35" s="3" t="s">
        <v>321</v>
      </c>
      <c r="F35" s="6" t="n">
        <v>3300000</v>
      </c>
      <c r="G35" s="3"/>
      <c r="H35" s="3" t="s">
        <v>322</v>
      </c>
      <c r="I35" s="3" t="s">
        <v>323</v>
      </c>
      <c r="J35" s="3" t="s">
        <v>324</v>
      </c>
      <c r="K35" s="3"/>
      <c r="L35" s="3" t="s">
        <v>31</v>
      </c>
      <c r="M35" s="3" t="s">
        <v>150</v>
      </c>
      <c r="N35" s="3" t="s">
        <v>103</v>
      </c>
      <c r="O35" s="3" t="s">
        <v>325</v>
      </c>
      <c r="P35" s="3" t="s">
        <v>326</v>
      </c>
      <c r="Q35" s="3" t="s">
        <v>35</v>
      </c>
      <c r="R35" s="3" t="s">
        <v>36</v>
      </c>
      <c r="S35" s="3"/>
      <c r="T35" s="3"/>
      <c r="U35" s="3" t="str">
        <f aca="false">IF(L35="E4","Low",IF(OR(R35="Yes",L35="E3"),"Medium","High"))</f>
        <v>High</v>
      </c>
      <c r="V35" s="7"/>
      <c r="W35" s="7"/>
      <c r="X35" s="3" t="s">
        <v>152</v>
      </c>
    </row>
    <row r="36" customFormat="false" ht="115.5" hidden="false" customHeight="true" outlineLevel="0" collapsed="false">
      <c r="A36" s="3" t="s">
        <v>327</v>
      </c>
      <c r="B36" s="4" t="n">
        <v>45292</v>
      </c>
      <c r="C36" s="5" t="n">
        <f aca="false">YEAR(B36)</f>
        <v>2024</v>
      </c>
      <c r="D36" s="3" t="s">
        <v>328</v>
      </c>
      <c r="E36" s="3" t="s">
        <v>329</v>
      </c>
      <c r="F36" s="6" t="n">
        <v>81500000</v>
      </c>
      <c r="G36" s="3"/>
      <c r="H36" s="3" t="s">
        <v>330</v>
      </c>
      <c r="I36" s="3" t="s">
        <v>331</v>
      </c>
      <c r="J36" s="3" t="s">
        <v>332</v>
      </c>
      <c r="K36" s="3" t="s">
        <v>333</v>
      </c>
      <c r="L36" s="3" t="s">
        <v>46</v>
      </c>
      <c r="M36" s="3" t="s">
        <v>83</v>
      </c>
      <c r="N36" s="3" t="s">
        <v>84</v>
      </c>
      <c r="O36" s="3" t="s">
        <v>334</v>
      </c>
      <c r="P36" s="3"/>
      <c r="Q36" s="3" t="s">
        <v>35</v>
      </c>
      <c r="R36" s="3" t="s">
        <v>36</v>
      </c>
      <c r="S36" s="3"/>
      <c r="T36" s="3"/>
      <c r="U36" s="3" t="str">
        <f aca="false">IF(L36="E4","Low",IF(OR(R36="Yes",L36="E3"),"Medium","High"))</f>
        <v>High</v>
      </c>
      <c r="V36" s="7"/>
      <c r="W36" s="7"/>
      <c r="X36" s="3" t="s">
        <v>37</v>
      </c>
    </row>
    <row r="37" customFormat="false" ht="90" hidden="false" customHeight="true" outlineLevel="0" collapsed="false">
      <c r="A37" s="3" t="s">
        <v>335</v>
      </c>
      <c r="B37" s="4" t="n">
        <v>45252</v>
      </c>
      <c r="C37" s="5" t="n">
        <f aca="false">YEAR(B37)</f>
        <v>2023</v>
      </c>
      <c r="D37" s="3" t="s">
        <v>336</v>
      </c>
      <c r="E37" s="3" t="s">
        <v>337</v>
      </c>
      <c r="F37" s="6" t="n">
        <v>86800000</v>
      </c>
      <c r="G37" s="3" t="s">
        <v>338</v>
      </c>
      <c r="H37" s="3" t="s">
        <v>339</v>
      </c>
      <c r="I37" s="3" t="s">
        <v>340</v>
      </c>
      <c r="J37" s="3" t="s">
        <v>341</v>
      </c>
      <c r="K37" s="3" t="s">
        <v>342</v>
      </c>
      <c r="L37" s="3" t="s">
        <v>31</v>
      </c>
      <c r="M37" s="3" t="s">
        <v>83</v>
      </c>
      <c r="N37" s="3" t="s">
        <v>84</v>
      </c>
      <c r="O37" s="3" t="s">
        <v>343</v>
      </c>
      <c r="P37" s="3"/>
      <c r="Q37" s="3" t="s">
        <v>35</v>
      </c>
      <c r="R37" s="3" t="s">
        <v>36</v>
      </c>
      <c r="S37" s="3"/>
      <c r="T37" s="3"/>
      <c r="U37" s="3" t="str">
        <f aca="false">IF(L37="E4","Low",IF(OR(R37="Yes",L37="E3"),"Medium","High"))</f>
        <v>High</v>
      </c>
      <c r="V37" s="7"/>
      <c r="W37" s="7"/>
      <c r="X37" s="3" t="s">
        <v>37</v>
      </c>
    </row>
    <row r="38" customFormat="false" ht="141" hidden="false" customHeight="true" outlineLevel="0" collapsed="false">
      <c r="A38" s="3" t="s">
        <v>344</v>
      </c>
      <c r="B38" s="4" t="n">
        <v>45113</v>
      </c>
      <c r="C38" s="5" t="n">
        <f aca="false">YEAR(B38)</f>
        <v>2023</v>
      </c>
      <c r="D38" s="3" t="s">
        <v>345</v>
      </c>
      <c r="E38" s="3" t="s">
        <v>346</v>
      </c>
      <c r="F38" s="6" t="n">
        <v>126000000</v>
      </c>
      <c r="G38" s="3"/>
      <c r="H38" s="3" t="s">
        <v>347</v>
      </c>
      <c r="I38" s="3" t="s">
        <v>348</v>
      </c>
      <c r="J38" s="3" t="s">
        <v>349</v>
      </c>
      <c r="K38" s="3" t="s">
        <v>350</v>
      </c>
      <c r="L38" s="3" t="s">
        <v>31</v>
      </c>
      <c r="M38" s="3" t="s">
        <v>83</v>
      </c>
      <c r="N38" s="3" t="s">
        <v>84</v>
      </c>
      <c r="O38" s="3" t="s">
        <v>351</v>
      </c>
      <c r="P38" s="3"/>
      <c r="Q38" s="3" t="s">
        <v>35</v>
      </c>
      <c r="R38" s="3" t="s">
        <v>36</v>
      </c>
      <c r="S38" s="3"/>
      <c r="T38" s="3"/>
      <c r="U38" s="3" t="str">
        <f aca="false">IF(L38="E4","Low",IF(OR(R38="Yes",L38="E3"),"Medium","High"))</f>
        <v>High</v>
      </c>
      <c r="V38" s="7"/>
      <c r="W38" s="7"/>
      <c r="X38" s="3" t="s">
        <v>37</v>
      </c>
    </row>
    <row r="39" customFormat="false" ht="128.25" hidden="false" customHeight="true" outlineLevel="0" collapsed="false">
      <c r="A39" s="3" t="s">
        <v>352</v>
      </c>
      <c r="B39" s="4" t="n">
        <v>45017</v>
      </c>
      <c r="C39" s="5" t="n">
        <f aca="false">YEAR(B39)</f>
        <v>2023</v>
      </c>
      <c r="D39" s="3" t="s">
        <v>353</v>
      </c>
      <c r="E39" s="3" t="s">
        <v>354</v>
      </c>
      <c r="F39" s="6" t="n">
        <v>570000</v>
      </c>
      <c r="G39" s="3"/>
      <c r="H39" s="3" t="s">
        <v>355</v>
      </c>
      <c r="I39" s="3" t="s">
        <v>356</v>
      </c>
      <c r="J39" s="3" t="s">
        <v>357</v>
      </c>
      <c r="K39" s="3" t="s">
        <v>358</v>
      </c>
      <c r="L39" s="3" t="s">
        <v>46</v>
      </c>
      <c r="M39" s="3" t="s">
        <v>102</v>
      </c>
      <c r="N39" s="3" t="s">
        <v>103</v>
      </c>
      <c r="O39" s="3" t="s">
        <v>359</v>
      </c>
      <c r="P39" s="3"/>
      <c r="Q39" s="3" t="s">
        <v>58</v>
      </c>
      <c r="R39" s="3" t="s">
        <v>36</v>
      </c>
      <c r="S39" s="3"/>
      <c r="T39" s="3"/>
      <c r="U39" s="3" t="str">
        <f aca="false">IF(L39="E4","Low",IF(OR(R39="Yes",L39="E3"),"Medium","High"))</f>
        <v>High</v>
      </c>
      <c r="V39" s="7"/>
      <c r="W39" s="7"/>
      <c r="X39" s="3" t="s">
        <v>37</v>
      </c>
    </row>
    <row r="40" customFormat="false" ht="115.5" hidden="false" customHeight="true" outlineLevel="0" collapsed="false">
      <c r="A40" s="3" t="s">
        <v>360</v>
      </c>
      <c r="B40" s="4" t="n">
        <v>44841</v>
      </c>
      <c r="C40" s="5" t="n">
        <f aca="false">YEAR(B40)</f>
        <v>2022</v>
      </c>
      <c r="D40" s="3" t="s">
        <v>361</v>
      </c>
      <c r="E40" s="3" t="s">
        <v>362</v>
      </c>
      <c r="F40" s="6" t="n">
        <v>566000000</v>
      </c>
      <c r="G40" s="3"/>
      <c r="H40" s="3" t="s">
        <v>363</v>
      </c>
      <c r="I40" s="3" t="s">
        <v>364</v>
      </c>
      <c r="J40" s="3" t="s">
        <v>365</v>
      </c>
      <c r="K40" s="3" t="s">
        <v>366</v>
      </c>
      <c r="L40" s="3" t="s">
        <v>46</v>
      </c>
      <c r="M40" s="3" t="s">
        <v>47</v>
      </c>
      <c r="N40" s="3" t="s">
        <v>48</v>
      </c>
      <c r="O40" s="3" t="s">
        <v>367</v>
      </c>
      <c r="P40" s="3"/>
      <c r="Q40" s="3" t="s">
        <v>35</v>
      </c>
      <c r="R40" s="3" t="s">
        <v>36</v>
      </c>
      <c r="S40" s="3"/>
      <c r="T40" s="3"/>
      <c r="U40" s="3" t="str">
        <f aca="false">IF(L40="E4","Low",IF(OR(R40="Yes",L40="E3"),"Medium","High"))</f>
        <v>High</v>
      </c>
      <c r="V40" s="7"/>
      <c r="W40" s="7"/>
      <c r="X40" s="3" t="s">
        <v>165</v>
      </c>
    </row>
    <row r="41" customFormat="false" ht="102.75" hidden="false" customHeight="true" outlineLevel="0" collapsed="false">
      <c r="A41" s="3" t="s">
        <v>368</v>
      </c>
      <c r="B41" s="4" t="n">
        <v>44790</v>
      </c>
      <c r="C41" s="5" t="n">
        <f aca="false">YEAR(B41)</f>
        <v>2022</v>
      </c>
      <c r="D41" s="3" t="s">
        <v>369</v>
      </c>
      <c r="E41" s="3" t="s">
        <v>370</v>
      </c>
      <c r="F41" s="6" t="n">
        <v>235000</v>
      </c>
      <c r="G41" s="3" t="s">
        <v>371</v>
      </c>
      <c r="H41" s="3" t="s">
        <v>372</v>
      </c>
      <c r="I41" s="3" t="s">
        <v>373</v>
      </c>
      <c r="J41" s="3" t="s">
        <v>374</v>
      </c>
      <c r="K41" s="3" t="s">
        <v>375</v>
      </c>
      <c r="L41" s="3" t="s">
        <v>31</v>
      </c>
      <c r="M41" s="3" t="s">
        <v>164</v>
      </c>
      <c r="N41" s="3" t="s">
        <v>84</v>
      </c>
      <c r="O41" s="3" t="s">
        <v>376</v>
      </c>
      <c r="P41" s="3" t="s">
        <v>377</v>
      </c>
      <c r="Q41" s="3" t="s">
        <v>35</v>
      </c>
      <c r="R41" s="3" t="s">
        <v>36</v>
      </c>
      <c r="S41" s="3"/>
      <c r="T41" s="3"/>
      <c r="U41" s="3" t="str">
        <f aca="false">IF(L41="E4","Low",IF(OR(R41="Yes",L41="E3"),"Medium","High"))</f>
        <v>High</v>
      </c>
      <c r="V41" s="7"/>
      <c r="W41" s="7"/>
      <c r="X41" s="3" t="s">
        <v>152</v>
      </c>
    </row>
    <row r="42" customFormat="false" ht="102.75" hidden="false" customHeight="true" outlineLevel="0" collapsed="false">
      <c r="A42" s="3" t="s">
        <v>378</v>
      </c>
      <c r="B42" s="4" t="n">
        <v>44774</v>
      </c>
      <c r="C42" s="5" t="n">
        <f aca="false">YEAR(B42)</f>
        <v>2022</v>
      </c>
      <c r="D42" s="3" t="s">
        <v>379</v>
      </c>
      <c r="E42" s="3" t="s">
        <v>380</v>
      </c>
      <c r="F42" s="6" t="n">
        <v>190000000</v>
      </c>
      <c r="G42" s="3"/>
      <c r="H42" s="3" t="s">
        <v>381</v>
      </c>
      <c r="I42" s="3" t="s">
        <v>382</v>
      </c>
      <c r="J42" s="3" t="s">
        <v>383</v>
      </c>
      <c r="K42" s="3" t="s">
        <v>384</v>
      </c>
      <c r="L42" s="3" t="s">
        <v>46</v>
      </c>
      <c r="M42" s="3" t="s">
        <v>150</v>
      </c>
      <c r="N42" s="3" t="s">
        <v>48</v>
      </c>
      <c r="O42" s="3" t="s">
        <v>385</v>
      </c>
      <c r="P42" s="3"/>
      <c r="Q42" s="3" t="s">
        <v>35</v>
      </c>
      <c r="R42" s="3" t="s">
        <v>59</v>
      </c>
      <c r="S42" s="3" t="s">
        <v>47</v>
      </c>
      <c r="T42" s="3" t="s">
        <v>48</v>
      </c>
      <c r="U42" s="3" t="str">
        <f aca="false">IF(L42="E4","Low",IF(OR(R42="Yes",L42="E3"),"Medium","High"))</f>
        <v>Medium</v>
      </c>
      <c r="V42" s="7"/>
      <c r="W42" s="7"/>
      <c r="X42" s="3" t="s">
        <v>37</v>
      </c>
    </row>
    <row r="43" customFormat="false" ht="102.75" hidden="false" customHeight="true" outlineLevel="0" collapsed="false">
      <c r="A43" s="3" t="s">
        <v>386</v>
      </c>
      <c r="B43" s="4" t="n">
        <v>44735</v>
      </c>
      <c r="C43" s="5" t="n">
        <f aca="false">YEAR(B43)</f>
        <v>2022</v>
      </c>
      <c r="D43" s="3" t="s">
        <v>387</v>
      </c>
      <c r="E43" s="3" t="s">
        <v>388</v>
      </c>
      <c r="F43" s="6" t="n">
        <v>100000000</v>
      </c>
      <c r="G43" s="3"/>
      <c r="H43" s="3" t="s">
        <v>389</v>
      </c>
      <c r="I43" s="3" t="s">
        <v>390</v>
      </c>
      <c r="J43" s="3" t="s">
        <v>391</v>
      </c>
      <c r="K43" s="3" t="s">
        <v>392</v>
      </c>
      <c r="L43" s="3" t="s">
        <v>46</v>
      </c>
      <c r="M43" s="3" t="s">
        <v>83</v>
      </c>
      <c r="N43" s="3" t="s">
        <v>84</v>
      </c>
      <c r="O43" s="3" t="s">
        <v>393</v>
      </c>
      <c r="P43" s="3"/>
      <c r="Q43" s="3" t="s">
        <v>394</v>
      </c>
      <c r="R43" s="3" t="s">
        <v>36</v>
      </c>
      <c r="S43" s="3"/>
      <c r="T43" s="3"/>
      <c r="U43" s="3" t="str">
        <f aca="false">IF(L43="E4","Low",IF(OR(R43="Yes",L43="E3"),"Medium","High"))</f>
        <v>High</v>
      </c>
      <c r="V43" s="7"/>
      <c r="W43" s="7"/>
      <c r="X43" s="3" t="s">
        <v>37</v>
      </c>
    </row>
    <row r="44" customFormat="false" ht="102.75" hidden="false" customHeight="true" outlineLevel="0" collapsed="false">
      <c r="A44" s="3" t="s">
        <v>395</v>
      </c>
      <c r="B44" s="4" t="n">
        <v>44643</v>
      </c>
      <c r="C44" s="5" t="n">
        <f aca="false">YEAR(B44)</f>
        <v>2022</v>
      </c>
      <c r="D44" s="3" t="s">
        <v>396</v>
      </c>
      <c r="E44" s="3" t="s">
        <v>397</v>
      </c>
      <c r="F44" s="6" t="n">
        <v>625000000</v>
      </c>
      <c r="G44" s="3"/>
      <c r="H44" s="3" t="s">
        <v>398</v>
      </c>
      <c r="I44" s="3" t="s">
        <v>399</v>
      </c>
      <c r="J44" s="3" t="s">
        <v>400</v>
      </c>
      <c r="K44" s="3" t="s">
        <v>401</v>
      </c>
      <c r="L44" s="3" t="s">
        <v>46</v>
      </c>
      <c r="M44" s="3" t="s">
        <v>83</v>
      </c>
      <c r="N44" s="3" t="s">
        <v>84</v>
      </c>
      <c r="O44" s="3" t="s">
        <v>402</v>
      </c>
      <c r="P44" s="3"/>
      <c r="Q44" s="3" t="s">
        <v>403</v>
      </c>
      <c r="R44" s="3" t="s">
        <v>36</v>
      </c>
      <c r="S44" s="3"/>
      <c r="T44" s="3"/>
      <c r="U44" s="3" t="str">
        <f aca="false">IF(L44="E4","Low",IF(OR(R44="Yes",L44="E3"),"Medium","High"))</f>
        <v>High</v>
      </c>
      <c r="V44" s="7"/>
      <c r="W44" s="7"/>
      <c r="X44" s="3" t="s">
        <v>37</v>
      </c>
    </row>
    <row r="45" customFormat="false" ht="90" hidden="false" customHeight="true" outlineLevel="0" collapsed="false">
      <c r="A45" s="3" t="s">
        <v>404</v>
      </c>
      <c r="B45" s="4" t="n">
        <v>44624</v>
      </c>
      <c r="C45" s="5" t="n">
        <f aca="false">YEAR(B45)</f>
        <v>2022</v>
      </c>
      <c r="D45" s="3" t="s">
        <v>405</v>
      </c>
      <c r="E45" s="3" t="s">
        <v>406</v>
      </c>
      <c r="F45" s="6" t="n">
        <v>320000</v>
      </c>
      <c r="G45" s="3"/>
      <c r="H45" s="3" t="s">
        <v>407</v>
      </c>
      <c r="I45" s="3" t="s">
        <v>408</v>
      </c>
      <c r="J45" s="3" t="s">
        <v>409</v>
      </c>
      <c r="K45" s="3" t="s">
        <v>410</v>
      </c>
      <c r="L45" s="3" t="s">
        <v>31</v>
      </c>
      <c r="M45" s="3" t="s">
        <v>164</v>
      </c>
      <c r="N45" s="3" t="s">
        <v>84</v>
      </c>
      <c r="O45" s="3" t="s">
        <v>411</v>
      </c>
      <c r="P45" s="3" t="s">
        <v>412</v>
      </c>
      <c r="Q45" s="3" t="s">
        <v>35</v>
      </c>
      <c r="R45" s="3" t="s">
        <v>36</v>
      </c>
      <c r="S45" s="3"/>
      <c r="T45" s="3"/>
      <c r="U45" s="3" t="str">
        <f aca="false">IF(L45="E4","Low",IF(OR(R45="Yes",L45="E3"),"Medium","High"))</f>
        <v>High</v>
      </c>
      <c r="V45" s="7"/>
      <c r="W45" s="7"/>
      <c r="X45" s="3" t="s">
        <v>152</v>
      </c>
    </row>
    <row r="46" customFormat="false" ht="115.5" hidden="false" customHeight="true" outlineLevel="0" collapsed="false">
      <c r="A46" s="3" t="s">
        <v>413</v>
      </c>
      <c r="B46" s="4" t="n">
        <v>44597</v>
      </c>
      <c r="C46" s="5" t="n">
        <f aca="false">YEAR(B46)</f>
        <v>2022</v>
      </c>
      <c r="D46" s="3" t="s">
        <v>414</v>
      </c>
      <c r="E46" s="3" t="s">
        <v>415</v>
      </c>
      <c r="F46" s="6" t="n">
        <v>4200000</v>
      </c>
      <c r="G46" s="3"/>
      <c r="H46" s="3" t="s">
        <v>416</v>
      </c>
      <c r="I46" s="3" t="s">
        <v>417</v>
      </c>
      <c r="J46" s="3" t="s">
        <v>418</v>
      </c>
      <c r="K46" s="3" t="s">
        <v>419</v>
      </c>
      <c r="L46" s="3" t="s">
        <v>46</v>
      </c>
      <c r="M46" s="3" t="s">
        <v>32</v>
      </c>
      <c r="N46" s="3" t="s">
        <v>33</v>
      </c>
      <c r="O46" s="3" t="s">
        <v>420</v>
      </c>
      <c r="P46" s="3"/>
      <c r="Q46" s="3" t="s">
        <v>35</v>
      </c>
      <c r="R46" s="3" t="s">
        <v>36</v>
      </c>
      <c r="S46" s="3"/>
      <c r="T46" s="3"/>
      <c r="U46" s="3" t="str">
        <f aca="false">IF(L46="E4","Low",IF(OR(R46="Yes",L46="E3"),"Medium","High"))</f>
        <v>High</v>
      </c>
      <c r="V46" s="7"/>
      <c r="W46" s="7"/>
      <c r="X46" s="3" t="s">
        <v>37</v>
      </c>
    </row>
    <row r="47" customFormat="false" ht="90" hidden="false" customHeight="true" outlineLevel="0" collapsed="false">
      <c r="A47" s="3" t="s">
        <v>421</v>
      </c>
      <c r="B47" s="4" t="n">
        <v>44594</v>
      </c>
      <c r="C47" s="5" t="n">
        <f aca="false">YEAR(B47)</f>
        <v>2022</v>
      </c>
      <c r="D47" s="3" t="s">
        <v>422</v>
      </c>
      <c r="E47" s="3" t="s">
        <v>423</v>
      </c>
      <c r="F47" s="6" t="n">
        <v>326000000</v>
      </c>
      <c r="G47" s="3"/>
      <c r="H47" s="3" t="s">
        <v>424</v>
      </c>
      <c r="I47" s="3" t="s">
        <v>425</v>
      </c>
      <c r="J47" s="3" t="s">
        <v>426</v>
      </c>
      <c r="K47" s="3" t="s">
        <v>427</v>
      </c>
      <c r="L47" s="3" t="s">
        <v>46</v>
      </c>
      <c r="M47" s="3" t="s">
        <v>47</v>
      </c>
      <c r="N47" s="3" t="s">
        <v>48</v>
      </c>
      <c r="O47" s="3" t="s">
        <v>428</v>
      </c>
      <c r="P47" s="3"/>
      <c r="Q47" s="3" t="s">
        <v>35</v>
      </c>
      <c r="R47" s="3" t="s">
        <v>36</v>
      </c>
      <c r="S47" s="3"/>
      <c r="T47" s="3"/>
      <c r="U47" s="3" t="str">
        <f aca="false">IF(L47="E4","Low",IF(OR(R47="Yes",L47="E3"),"Medium","High"))</f>
        <v>High</v>
      </c>
      <c r="V47" s="7"/>
      <c r="W47" s="7"/>
      <c r="X47" s="3" t="s">
        <v>165</v>
      </c>
    </row>
    <row r="48" customFormat="false" ht="102.75" hidden="false" customHeight="true" outlineLevel="0" collapsed="false">
      <c r="A48" s="3" t="s">
        <v>429</v>
      </c>
      <c r="B48" s="4" t="n">
        <v>44588</v>
      </c>
      <c r="C48" s="5" t="n">
        <f aca="false">YEAR(B48)</f>
        <v>2022</v>
      </c>
      <c r="D48" s="3" t="s">
        <v>430</v>
      </c>
      <c r="E48" s="3" t="s">
        <v>431</v>
      </c>
      <c r="F48" s="6" t="n">
        <v>80000000</v>
      </c>
      <c r="G48" s="3"/>
      <c r="H48" s="3" t="s">
        <v>432</v>
      </c>
      <c r="I48" s="3" t="s">
        <v>433</v>
      </c>
      <c r="J48" s="3" t="s">
        <v>434</v>
      </c>
      <c r="K48" s="3" t="s">
        <v>435</v>
      </c>
      <c r="L48" s="3" t="s">
        <v>46</v>
      </c>
      <c r="M48" s="3" t="s">
        <v>32</v>
      </c>
      <c r="N48" s="3" t="s">
        <v>33</v>
      </c>
      <c r="O48" s="3" t="s">
        <v>436</v>
      </c>
      <c r="P48" s="3"/>
      <c r="Q48" s="3" t="s">
        <v>35</v>
      </c>
      <c r="R48" s="3" t="s">
        <v>36</v>
      </c>
      <c r="S48" s="3"/>
      <c r="T48" s="3"/>
      <c r="U48" s="3" t="str">
        <f aca="false">IF(L48="E4","Low",IF(OR(R48="Yes",L48="E3"),"Medium","High"))</f>
        <v>High</v>
      </c>
      <c r="V48" s="7"/>
      <c r="W48" s="7"/>
      <c r="X48" s="3" t="s">
        <v>223</v>
      </c>
    </row>
    <row r="49" customFormat="false" ht="128.25" hidden="false" customHeight="true" outlineLevel="0" collapsed="false">
      <c r="A49" s="3" t="s">
        <v>437</v>
      </c>
      <c r="B49" s="4" t="n">
        <v>44579</v>
      </c>
      <c r="C49" s="5" t="n">
        <f aca="false">YEAR(B49)</f>
        <v>2022</v>
      </c>
      <c r="D49" s="3" t="s">
        <v>438</v>
      </c>
      <c r="E49" s="3" t="s">
        <v>192</v>
      </c>
      <c r="F49" s="6" t="n">
        <v>3000000</v>
      </c>
      <c r="G49" s="3"/>
      <c r="H49" s="3" t="s">
        <v>439</v>
      </c>
      <c r="I49" s="3" t="s">
        <v>440</v>
      </c>
      <c r="J49" s="3" t="s">
        <v>441</v>
      </c>
      <c r="K49" s="3" t="s">
        <v>442</v>
      </c>
      <c r="L49" s="3" t="s">
        <v>46</v>
      </c>
      <c r="M49" s="3" t="s">
        <v>150</v>
      </c>
      <c r="N49" s="3" t="s">
        <v>103</v>
      </c>
      <c r="O49" s="3" t="s">
        <v>443</v>
      </c>
      <c r="P49" s="3" t="s">
        <v>444</v>
      </c>
      <c r="Q49" s="3" t="s">
        <v>35</v>
      </c>
      <c r="R49" s="3" t="s">
        <v>36</v>
      </c>
      <c r="S49" s="3"/>
      <c r="T49" s="3"/>
      <c r="U49" s="3" t="str">
        <f aca="false">IF(L49="E4","Low",IF(OR(R49="Yes",L49="E3"),"Medium","High"))</f>
        <v>High</v>
      </c>
      <c r="V49" s="7"/>
      <c r="W49" s="7"/>
      <c r="X49" s="3" t="s">
        <v>152</v>
      </c>
    </row>
  </sheetData>
  <autoFilter ref="A1:X49"/>
  <dataValidations count="2">
    <dataValidation allowBlank="true" errorStyle="stop" operator="between" showDropDown="false" showErrorMessage="false" showInputMessage="false" sqref="V2:V49" type="list">
      <formula1>"Event Injection (EI),Proof Forgery (PF),Logic Exploitation (LE),Economic-State Manipulation (ESM),Credential Seizure (CS),Infrastructure Hijacking (IH)"</formula1>
      <formula2>0</formula2>
    </dataValidation>
    <dataValidation allowBlank="true" errorStyle="stop" operator="between" showDropDown="false" showErrorMessage="false" showInputMessage="false" sqref="W2:W49" type="list">
      <formula1>"FD-1 Deposit,FD-2 Relay,FD-3 Verification,FD-4 Execution,FD-5 Governance &amp; Operations"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5" min="2" style="1" width="20"/>
  </cols>
  <sheetData>
    <row r="1" customFormat="false" ht="15" hidden="false" customHeight="true" outlineLevel="0" collapsed="false">
      <c r="A1" s="8" t="s">
        <v>445</v>
      </c>
    </row>
    <row r="3" customFormat="false" ht="15" hidden="false" customHeight="true" outlineLevel="0" collapsed="false">
      <c r="A3" s="9" t="s">
        <v>446</v>
      </c>
      <c r="B3" s="9" t="s">
        <v>447</v>
      </c>
    </row>
    <row r="4" customFormat="false" ht="15" hidden="false" customHeight="true" outlineLevel="0" collapsed="false">
      <c r="A4" s="8" t="s">
        <v>448</v>
      </c>
      <c r="B4" s="10" t="n">
        <f aca="false">COUNTA(Dataset!A2:A49)</f>
        <v>48</v>
      </c>
    </row>
    <row r="5" customFormat="false" ht="15" hidden="false" customHeight="true" outlineLevel="0" collapsed="false">
      <c r="A5" s="9" t="s">
        <v>449</v>
      </c>
      <c r="B5" s="11" t="n">
        <f aca="false">COUNTA('Excluded Incidents'!B2:B200)</f>
        <v>12</v>
      </c>
    </row>
    <row r="6" customFormat="false" ht="15" hidden="false" customHeight="true" outlineLevel="0" collapsed="false">
      <c r="A6" s="9" t="s">
        <v>450</v>
      </c>
      <c r="B6" s="12" t="n">
        <f aca="false">SUM(Dataset!$F$2:$F$49)</f>
        <v>2675630693</v>
      </c>
    </row>
    <row r="7" customFormat="false" ht="15" hidden="false" customHeight="true" outlineLevel="0" collapsed="false">
      <c r="A7" s="9" t="s">
        <v>451</v>
      </c>
      <c r="B7" s="12" t="n">
        <f aca="false">MEDIAN(Dataset!$F$2:$F$49)</f>
        <v>4250000</v>
      </c>
    </row>
    <row r="8" customFormat="false" ht="15" hidden="false" customHeight="true" outlineLevel="0" collapsed="false">
      <c r="A8" s="9" t="s">
        <v>452</v>
      </c>
      <c r="B8" s="12" t="n">
        <f aca="false">AVERAGE(Dataset!$F$2:$F$49)</f>
        <v>55742306.1041667</v>
      </c>
    </row>
    <row r="9" customFormat="false" ht="15" hidden="false" customHeight="true" outlineLevel="0" collapsed="false">
      <c r="A9" s="9" t="s">
        <v>453</v>
      </c>
      <c r="B9" s="13" t="n">
        <f aca="false">MIN(Dataset!B2:B49)</f>
        <v>44579</v>
      </c>
    </row>
    <row r="10" customFormat="false" ht="15" hidden="false" customHeight="true" outlineLevel="0" collapsed="false">
      <c r="A10" s="9" t="s">
        <v>454</v>
      </c>
      <c r="B10" s="13" t="n">
        <f aca="false">MAX(Dataset!B2:B49)</f>
        <v>46257</v>
      </c>
    </row>
    <row r="12" customFormat="false" ht="15" hidden="false" customHeight="true" outlineLevel="0" collapsed="false">
      <c r="A12" s="14" t="s">
        <v>12</v>
      </c>
      <c r="B12" s="14" t="s">
        <v>455</v>
      </c>
      <c r="C12" s="14" t="s">
        <v>456</v>
      </c>
      <c r="D12" s="14" t="s">
        <v>457</v>
      </c>
      <c r="E12" s="14" t="s">
        <v>458</v>
      </c>
    </row>
    <row r="13" customFormat="false" ht="15" hidden="false" customHeight="true" outlineLevel="0" collapsed="false">
      <c r="A13" s="9" t="s">
        <v>32</v>
      </c>
      <c r="B13" s="11" t="n">
        <f aca="false">COUNTIFS(Dataset!$M$2:$M$49,$A13)</f>
        <v>7</v>
      </c>
      <c r="C13" s="15" t="n">
        <f aca="false">IF($B$4=0,0,B13/$B$4)</f>
        <v>0.145833333333333</v>
      </c>
      <c r="D13" s="12" t="n">
        <f aca="false">SUMIFS(Dataset!$F$2:$F$49,Dataset!$M$2:$M$49,$A13)</f>
        <v>90483000</v>
      </c>
      <c r="E13" s="12" t="n">
        <f aca="false" t="array" ref="E13:E13">IF(B13=0,0,MEDIAN(IF(Dataset!$M$2:$M$49=$A13,Dataset!$F$2:$F$49)))</f>
        <v>1300000</v>
      </c>
    </row>
    <row r="14" customFormat="false" ht="15" hidden="false" customHeight="true" outlineLevel="0" collapsed="false">
      <c r="A14" s="9" t="s">
        <v>47</v>
      </c>
      <c r="B14" s="11" t="n">
        <f aca="false">COUNTIFS(Dataset!$M$2:$M$49,$A14)</f>
        <v>13</v>
      </c>
      <c r="C14" s="15" t="n">
        <f aca="false">IF($B$4=0,0,B14/$B$4)</f>
        <v>0.270833333333333</v>
      </c>
      <c r="D14" s="12" t="n">
        <f aca="false">SUMIFS(Dataset!$F$2:$F$49,Dataset!$M$2:$M$49,$A14)</f>
        <v>1233436000</v>
      </c>
      <c r="E14" s="12" t="n">
        <f aca="false" t="array" ref="E14:E14">IF(B14=0,0,MEDIAN(IF(Dataset!$M$2:$M$49=$A14,Dataset!$F$2:$F$49)))</f>
        <v>7000000</v>
      </c>
    </row>
    <row r="15" customFormat="false" ht="15" hidden="false" customHeight="true" outlineLevel="0" collapsed="false">
      <c r="A15" s="9" t="s">
        <v>150</v>
      </c>
      <c r="B15" s="11" t="n">
        <f aca="false">COUNTIFS(Dataset!$M$2:$M$49,$A15)</f>
        <v>9</v>
      </c>
      <c r="C15" s="15" t="n">
        <f aca="false">IF($B$4=0,0,B15/$B$4)</f>
        <v>0.1875</v>
      </c>
      <c r="D15" s="12" t="n">
        <f aca="false">SUMIFS(Dataset!$F$2:$F$49,Dataset!$M$2:$M$49,$A15)</f>
        <v>270434000</v>
      </c>
      <c r="E15" s="12" t="n">
        <f aca="false" t="array" ref="E15:E15">IF(B15=0,0,MEDIAN(IF(Dataset!$M$2:$M$49=$A15,Dataset!$F$2:$F$49)))</f>
        <v>3300000</v>
      </c>
    </row>
    <row r="16" customFormat="false" ht="15" hidden="false" customHeight="true" outlineLevel="0" collapsed="false">
      <c r="A16" s="9" t="s">
        <v>102</v>
      </c>
      <c r="B16" s="11" t="n">
        <f aca="false">COUNTIFS(Dataset!$M$2:$M$49,$A16)</f>
        <v>3</v>
      </c>
      <c r="C16" s="15" t="n">
        <f aca="false">IF($B$4=0,0,B16/$B$4)</f>
        <v>0.0625</v>
      </c>
      <c r="D16" s="12" t="n">
        <f aca="false">SUMIFS(Dataset!$F$2:$F$49,Dataset!$M$2:$M$49,$A16)</f>
        <v>4620000</v>
      </c>
      <c r="E16" s="12" t="n">
        <f aca="false" t="array" ref="E16:E16">IF(B16=0,0,MEDIAN(IF(Dataset!$M$2:$M$49=$A16,Dataset!$F$2:$F$49)))</f>
        <v>1650000</v>
      </c>
    </row>
    <row r="17" customFormat="false" ht="15" hidden="false" customHeight="true" outlineLevel="0" collapsed="false">
      <c r="A17" s="9" t="s">
        <v>83</v>
      </c>
      <c r="B17" s="11" t="n">
        <f aca="false">COUNTIFS(Dataset!$M$2:$M$49,$A17)</f>
        <v>13</v>
      </c>
      <c r="C17" s="15" t="n">
        <f aca="false">IF($B$4=0,0,B17/$B$4)</f>
        <v>0.270833333333333</v>
      </c>
      <c r="D17" s="12" t="n">
        <f aca="false">SUMIFS(Dataset!$F$2:$F$49,Dataset!$M$2:$M$49,$A17)</f>
        <v>1072342693</v>
      </c>
      <c r="E17" s="12" t="n">
        <f aca="false" t="array" ref="E17:E17">IF(B17=0,0,MEDIAN(IF(Dataset!$M$2:$M$49=$A17,Dataset!$F$2:$F$49)))</f>
        <v>10700000</v>
      </c>
    </row>
    <row r="18" customFormat="false" ht="15" hidden="false" customHeight="true" outlineLevel="0" collapsed="false">
      <c r="A18" s="9" t="s">
        <v>164</v>
      </c>
      <c r="B18" s="11" t="n">
        <f aca="false">COUNTIFS(Dataset!$M$2:$M$49,$A18)</f>
        <v>3</v>
      </c>
      <c r="C18" s="15" t="n">
        <f aca="false">IF($B$4=0,0,B18/$B$4)</f>
        <v>0.0625</v>
      </c>
      <c r="D18" s="12" t="n">
        <f aca="false">SUMIFS(Dataset!$F$2:$F$49,Dataset!$M$2:$M$49,$A18)</f>
        <v>4315000</v>
      </c>
      <c r="E18" s="12" t="n">
        <f aca="false" t="array" ref="E18:E18">IF(B18=0,0,MEDIAN(IF(Dataset!$M$2:$M$49=$A18,Dataset!$F$2:$F$49)))</f>
        <v>320000</v>
      </c>
    </row>
    <row r="19" customFormat="false" ht="15" hidden="false" customHeight="true" outlineLevel="0" collapsed="false">
      <c r="A19" s="8" t="s">
        <v>459</v>
      </c>
      <c r="B19" s="10" t="n">
        <f aca="false">SUM(B13:B18)</f>
        <v>48</v>
      </c>
      <c r="C19" s="16" t="n">
        <f aca="false">SUM(C13:C18)</f>
        <v>1</v>
      </c>
      <c r="D19" s="17" t="n">
        <f aca="false">SUM(D13:D18)</f>
        <v>2675630693</v>
      </c>
      <c r="F19" s="9" t="str">
        <f aca="false">IF(B19=$B$4,"OK — reconciles","CHECK — does not reconcile")</f>
        <v>OK — reconciles</v>
      </c>
    </row>
    <row r="21" customFormat="false" ht="15" hidden="false" customHeight="true" outlineLevel="0" collapsed="false">
      <c r="A21" s="14" t="s">
        <v>13</v>
      </c>
      <c r="B21" s="14" t="s">
        <v>455</v>
      </c>
      <c r="C21" s="14" t="s">
        <v>456</v>
      </c>
      <c r="D21" s="14" t="s">
        <v>457</v>
      </c>
      <c r="E21" s="14" t="s">
        <v>458</v>
      </c>
    </row>
    <row r="22" customFormat="false" ht="15" hidden="false" customHeight="true" outlineLevel="0" collapsed="false">
      <c r="A22" s="9" t="s">
        <v>33</v>
      </c>
      <c r="B22" s="11" t="n">
        <f aca="false">COUNTIFS(Dataset!$N$2:$N$49,$A22)</f>
        <v>5</v>
      </c>
      <c r="C22" s="15" t="n">
        <f aca="false">IF($B$4=0,0,B22/$B$4)</f>
        <v>0.104166666666667</v>
      </c>
      <c r="D22" s="12" t="n">
        <f aca="false">SUMIFS(Dataset!$F$2:$F$49,Dataset!$N$2:$N$49,$A22)</f>
        <v>84683000</v>
      </c>
      <c r="E22" s="12" t="n">
        <f aca="false" t="array" ref="E22:E22">IF(B22=0,0,MEDIAN(IF(Dataset!$N$2:$N$49=$A22,Dataset!$F$2:$F$49)))</f>
        <v>200000</v>
      </c>
    </row>
    <row r="23" customFormat="false" ht="15" hidden="false" customHeight="true" outlineLevel="0" collapsed="false">
      <c r="A23" s="9" t="s">
        <v>113</v>
      </c>
      <c r="B23" s="11" t="n">
        <f aca="false">COUNTIFS(Dataset!$N$2:$N$49,$A23)</f>
        <v>3</v>
      </c>
      <c r="C23" s="15" t="n">
        <f aca="false">IF($B$4=0,0,B23/$B$4)</f>
        <v>0.0625</v>
      </c>
      <c r="D23" s="12" t="n">
        <f aca="false">SUMIFS(Dataset!$F$2:$F$49,Dataset!$N$2:$N$49,$A23)</f>
        <v>6900000</v>
      </c>
      <c r="E23" s="12" t="n">
        <f aca="false" t="array" ref="E23:E23">IF(B23=0,0,MEDIAN(IF(Dataset!$N$2:$N$49=$A23,Dataset!$F$2:$F$49)))</f>
        <v>1300000</v>
      </c>
    </row>
    <row r="24" customFormat="false" ht="15" hidden="false" customHeight="true" outlineLevel="0" collapsed="false">
      <c r="A24" s="9" t="s">
        <v>48</v>
      </c>
      <c r="B24" s="11" t="n">
        <f aca="false">COUNTIFS(Dataset!$N$2:$N$49,$A24)</f>
        <v>15</v>
      </c>
      <c r="C24" s="15" t="n">
        <f aca="false">IF($B$4=0,0,B24/$B$4)</f>
        <v>0.3125</v>
      </c>
      <c r="D24" s="12" t="n">
        <f aca="false">SUMIFS(Dataset!$F$2:$F$49,Dataset!$N$2:$N$49,$A24)</f>
        <v>1435436000</v>
      </c>
      <c r="E24" s="12" t="n">
        <f aca="false" t="array" ref="E24:E24">IF(B24=0,0,MEDIAN(IF(Dataset!$N$2:$N$49=$A24,Dataset!$F$2:$F$49)))</f>
        <v>7540000</v>
      </c>
    </row>
    <row r="25" customFormat="false" ht="15" hidden="false" customHeight="true" outlineLevel="0" collapsed="false">
      <c r="A25" s="9" t="s">
        <v>103</v>
      </c>
      <c r="B25" s="11" t="n">
        <f aca="false">COUNTIFS(Dataset!$N$2:$N$49,$A25)</f>
        <v>9</v>
      </c>
      <c r="C25" s="15" t="n">
        <f aca="false">IF($B$4=0,0,B25/$B$4)</f>
        <v>0.1875</v>
      </c>
      <c r="D25" s="12" t="n">
        <f aca="false">SUMIFS(Dataset!$F$2:$F$49,Dataset!$N$2:$N$49,$A25)</f>
        <v>71954000</v>
      </c>
      <c r="E25" s="12" t="n">
        <f aca="false" t="array" ref="E25:E25">IF(B25=0,0,MEDIAN(IF(Dataset!$N$2:$N$49=$A25,Dataset!$F$2:$F$49)))</f>
        <v>2400000</v>
      </c>
    </row>
    <row r="26" customFormat="false" ht="15" hidden="false" customHeight="true" outlineLevel="0" collapsed="false">
      <c r="A26" s="9" t="s">
        <v>84</v>
      </c>
      <c r="B26" s="11" t="n">
        <f aca="false">COUNTIFS(Dataset!$N$2:$N$49,$A26)</f>
        <v>16</v>
      </c>
      <c r="C26" s="15" t="n">
        <f aca="false">IF($B$4=0,0,B26/$B$4)</f>
        <v>0.333333333333333</v>
      </c>
      <c r="D26" s="12" t="n">
        <f aca="false">SUMIFS(Dataset!$F$2:$F$49,Dataset!$N$2:$N$49,$A26)</f>
        <v>1076657693</v>
      </c>
      <c r="E26" s="12" t="n">
        <f aca="false" t="array" ref="E26:E26">IF(B26=0,0,MEDIAN(IF(Dataset!$N$2:$N$49=$A26,Dataset!$F$2:$F$49)))</f>
        <v>5970000</v>
      </c>
    </row>
    <row r="27" customFormat="false" ht="15" hidden="false" customHeight="true" outlineLevel="0" collapsed="false">
      <c r="A27" s="8" t="s">
        <v>459</v>
      </c>
      <c r="B27" s="10" t="n">
        <f aca="false">SUM(B22:B26)</f>
        <v>48</v>
      </c>
      <c r="C27" s="16" t="n">
        <f aca="false">SUM(C22:C26)</f>
        <v>1</v>
      </c>
      <c r="D27" s="17" t="n">
        <f aca="false">SUM(D22:D26)</f>
        <v>2675630693</v>
      </c>
      <c r="F27" s="9" t="str">
        <f aca="false">IF(B27=$B$4,"OK — reconciles","CHECK — does not reconcile")</f>
        <v>OK — reconciles</v>
      </c>
    </row>
    <row r="29" customFormat="false" ht="15" hidden="false" customHeight="true" outlineLevel="0" collapsed="false">
      <c r="A29" s="14" t="s">
        <v>2</v>
      </c>
      <c r="B29" s="14" t="s">
        <v>455</v>
      </c>
      <c r="C29" s="14" t="s">
        <v>456</v>
      </c>
      <c r="D29" s="14" t="s">
        <v>457</v>
      </c>
      <c r="E29" s="14" t="s">
        <v>458</v>
      </c>
    </row>
    <row r="30" customFormat="false" ht="15" hidden="false" customHeight="true" outlineLevel="0" collapsed="false">
      <c r="A30" s="11" t="n">
        <v>2022</v>
      </c>
      <c r="B30" s="11" t="n">
        <f aca="false">COUNTIFS(Dataset!$C$2:$C$49,$A30)</f>
        <v>10</v>
      </c>
      <c r="C30" s="15" t="n">
        <f aca="false">IF($B$4=0,0,B30/$B$4)</f>
        <v>0.208333333333333</v>
      </c>
      <c r="D30" s="12" t="n">
        <f aca="false">SUMIFS(Dataset!$F$2:$F$49,Dataset!$C$2:$C$49,$A30)</f>
        <v>1894755000</v>
      </c>
      <c r="E30" s="12" t="n">
        <f aca="false" t="array" ref="E30:E30">IF(B30=0,0,MEDIAN(IF(Dataset!$C$2:$C$49=$A30,Dataset!$F$2:$F$49)))</f>
        <v>90000000</v>
      </c>
    </row>
    <row r="31" customFormat="false" ht="15" hidden="false" customHeight="true" outlineLevel="0" collapsed="false">
      <c r="A31" s="11" t="n">
        <v>2023</v>
      </c>
      <c r="B31" s="11" t="n">
        <f aca="false">COUNTIFS(Dataset!$C$2:$C$49,$A31)</f>
        <v>3</v>
      </c>
      <c r="C31" s="15" t="n">
        <f aca="false">IF($B$4=0,0,B31/$B$4)</f>
        <v>0.0625</v>
      </c>
      <c r="D31" s="12" t="n">
        <f aca="false">SUMIFS(Dataset!$F$2:$F$49,Dataset!$C$2:$C$49,$A31)</f>
        <v>213370000</v>
      </c>
      <c r="E31" s="12" t="n">
        <f aca="false" t="array" ref="E31:E31">IF(B31=0,0,MEDIAN(IF(Dataset!$C$2:$C$49=$A31,Dataset!$F$2:$F$49)))</f>
        <v>86800000</v>
      </c>
    </row>
    <row r="32" customFormat="false" ht="15" hidden="false" customHeight="true" outlineLevel="0" collapsed="false">
      <c r="A32" s="11" t="n">
        <v>2024</v>
      </c>
      <c r="B32" s="11" t="n">
        <f aca="false">COUNTIFS(Dataset!$C$2:$C$49,$A32)</f>
        <v>8</v>
      </c>
      <c r="C32" s="15" t="n">
        <f aca="false">IF($B$4=0,0,B32/$B$4)</f>
        <v>0.166666666666667</v>
      </c>
      <c r="D32" s="12" t="n">
        <f aca="false">SUMIFS(Dataset!$F$2:$F$49,Dataset!$C$2:$C$49,$A32)</f>
        <v>115899000</v>
      </c>
      <c r="E32" s="12" t="n">
        <f aca="false" t="array" ref="E32:E32">IF(B32=0,0,MEDIAN(IF(Dataset!$C$2:$C$49=$A32,Dataset!$F$2:$F$49)))</f>
        <v>3800000</v>
      </c>
    </row>
    <row r="33" customFormat="false" ht="15" hidden="false" customHeight="true" outlineLevel="0" collapsed="false">
      <c r="A33" s="11" t="n">
        <v>2025</v>
      </c>
      <c r="B33" s="11" t="n">
        <f aca="false">COUNTIFS(Dataset!$C$2:$C$49,$A33)</f>
        <v>8</v>
      </c>
      <c r="C33" s="15" t="n">
        <f aca="false">IF($B$4=0,0,B33/$B$4)</f>
        <v>0.166666666666667</v>
      </c>
      <c r="D33" s="12" t="n">
        <f aca="false">SUMIFS(Dataset!$F$2:$F$49,Dataset!$C$2:$C$49,$A33)</f>
        <v>24117693</v>
      </c>
      <c r="E33" s="12" t="n">
        <f aca="false" t="array" ref="E33:E33">IF(B33=0,0,MEDIAN(IF(Dataset!$C$2:$C$49=$A33,Dataset!$F$2:$F$49)))</f>
        <v>2700000</v>
      </c>
    </row>
    <row r="34" customFormat="false" ht="15" hidden="false" customHeight="true" outlineLevel="0" collapsed="false">
      <c r="A34" s="11" t="n">
        <v>2026</v>
      </c>
      <c r="B34" s="11" t="n">
        <f aca="false">COUNTIFS(Dataset!$C$2:$C$49,$A34)</f>
        <v>19</v>
      </c>
      <c r="C34" s="15" t="n">
        <f aca="false">IF($B$4=0,0,B34/$B$4)</f>
        <v>0.395833333333333</v>
      </c>
      <c r="D34" s="12" t="n">
        <f aca="false">SUMIFS(Dataset!$F$2:$F$49,Dataset!$C$2:$C$49,$A34)</f>
        <v>427489000</v>
      </c>
      <c r="E34" s="12" t="n">
        <f aca="false" t="array" ref="E34:E34">IF(B34=0,0,MEDIAN(IF(Dataset!$C$2:$C$49=$A34,Dataset!$F$2:$F$49)))</f>
        <v>4300000</v>
      </c>
    </row>
    <row r="35" customFormat="false" ht="15" hidden="false" customHeight="true" outlineLevel="0" collapsed="false">
      <c r="A35" s="8" t="s">
        <v>459</v>
      </c>
      <c r="B35" s="10" t="n">
        <f aca="false">SUM(B30:B34)</f>
        <v>48</v>
      </c>
      <c r="C35" s="16" t="n">
        <f aca="false">SUM(C30:C34)</f>
        <v>1</v>
      </c>
      <c r="D35" s="17" t="n">
        <f aca="false">SUM(D30:D34)</f>
        <v>2675630693</v>
      </c>
      <c r="F35" s="9" t="str">
        <f aca="false">IF(B35=$B$4,"OK — reconciles","CHECK — does not reconcile")</f>
        <v>OK — reconciles</v>
      </c>
    </row>
    <row r="37" customFormat="false" ht="15" hidden="false" customHeight="true" outlineLevel="0" collapsed="false">
      <c r="A37" s="14" t="s">
        <v>11</v>
      </c>
      <c r="B37" s="14" t="s">
        <v>455</v>
      </c>
      <c r="C37" s="14" t="s">
        <v>456</v>
      </c>
      <c r="D37" s="14" t="s">
        <v>457</v>
      </c>
    </row>
    <row r="38" customFormat="false" ht="15" hidden="false" customHeight="true" outlineLevel="0" collapsed="false">
      <c r="A38" s="9" t="s">
        <v>46</v>
      </c>
      <c r="B38" s="11" t="n">
        <f aca="false">COUNTIFS(Dataset!$L$2:$L$49,$A38)</f>
        <v>21</v>
      </c>
      <c r="C38" s="15" t="n">
        <f aca="false">IF($B$4=0,0,B38/$B$4)</f>
        <v>0.4375</v>
      </c>
      <c r="D38" s="12" t="n">
        <f aca="false">SUMIFS(Dataset!$F$2:$F$49,Dataset!$L$2:$L$49,$A38)</f>
        <v>2316726000</v>
      </c>
    </row>
    <row r="39" customFormat="false" ht="15" hidden="false" customHeight="true" outlineLevel="0" collapsed="false">
      <c r="A39" s="9" t="s">
        <v>31</v>
      </c>
      <c r="B39" s="11" t="n">
        <f aca="false">COUNTIFS(Dataset!$L$2:$L$49,$A39)</f>
        <v>23</v>
      </c>
      <c r="C39" s="15" t="n">
        <f aca="false">IF($B$4=0,0,B39/$B$4)</f>
        <v>0.479166666666667</v>
      </c>
      <c r="D39" s="12" t="n">
        <f aca="false">SUMIFS(Dataset!$F$2:$F$49,Dataset!$L$2:$L$49,$A39)</f>
        <v>305269693</v>
      </c>
    </row>
    <row r="40" customFormat="false" ht="15" hidden="false" customHeight="true" outlineLevel="0" collapsed="false">
      <c r="A40" s="9" t="s">
        <v>180</v>
      </c>
      <c r="B40" s="11" t="n">
        <f aca="false">COUNTIFS(Dataset!$L$2:$L$49,$A40)</f>
        <v>3</v>
      </c>
      <c r="C40" s="15" t="n">
        <f aca="false">IF($B$4=0,0,B40/$B$4)</f>
        <v>0.0625</v>
      </c>
      <c r="D40" s="12" t="n">
        <f aca="false">SUMIFS(Dataset!$F$2:$F$49,Dataset!$L$2:$L$49,$A40)</f>
        <v>52900000</v>
      </c>
    </row>
    <row r="41" customFormat="false" ht="15" hidden="false" customHeight="true" outlineLevel="0" collapsed="false">
      <c r="A41" s="9" t="s">
        <v>123</v>
      </c>
      <c r="B41" s="11" t="n">
        <f aca="false">COUNTIFS(Dataset!$L$2:$L$49,$A41)</f>
        <v>1</v>
      </c>
      <c r="C41" s="15" t="n">
        <f aca="false">IF($B$4=0,0,B41/$B$4)</f>
        <v>0.0208333333333333</v>
      </c>
      <c r="D41" s="12" t="n">
        <f aca="false">SUMIFS(Dataset!$F$2:$F$49,Dataset!$L$2:$L$49,$A41)</f>
        <v>735000</v>
      </c>
    </row>
    <row r="42" customFormat="false" ht="15" hidden="false" customHeight="true" outlineLevel="0" collapsed="false">
      <c r="A42" s="8" t="s">
        <v>459</v>
      </c>
      <c r="B42" s="10" t="n">
        <f aca="false">SUM(B38:B41)</f>
        <v>48</v>
      </c>
      <c r="C42" s="16" t="n">
        <f aca="false">SUM(C38:C41)</f>
        <v>1</v>
      </c>
      <c r="D42" s="17" t="n">
        <f aca="false">SUM(D38:D41)</f>
        <v>2675630693</v>
      </c>
      <c r="F42" s="9" t="str">
        <f aca="false">IF(B42=$B$4,"OK — reconciles","CHECK — does not reconcile")</f>
        <v>OK — reconciles</v>
      </c>
    </row>
    <row r="44" customFormat="false" ht="15" hidden="false" customHeight="true" outlineLevel="0" collapsed="false">
      <c r="A44" s="9" t="s">
        <v>460</v>
      </c>
    </row>
    <row r="46" customFormat="false" ht="15" hidden="false" customHeight="true" outlineLevel="0" collapsed="false">
      <c r="A46" s="14" t="s">
        <v>461</v>
      </c>
      <c r="B46" s="14" t="s">
        <v>462</v>
      </c>
    </row>
    <row r="47" customFormat="false" ht="15" hidden="false" customHeight="true" outlineLevel="0" collapsed="false">
      <c r="A47" s="9" t="s">
        <v>463</v>
      </c>
      <c r="B47" s="9" t="n">
        <f aca="false">COUNTIF(Dataset!$R$2:$R$49,"Yes")</f>
        <v>6</v>
      </c>
    </row>
    <row r="48" customFormat="false" ht="15" hidden="false" customHeight="true" outlineLevel="0" collapsed="false">
      <c r="A48" s="9" t="s">
        <v>464</v>
      </c>
      <c r="B48" s="9" t="n">
        <f aca="false">COUNTIF(Dataset!$U$2:$U$49,"High")</f>
        <v>38</v>
      </c>
    </row>
    <row r="49" customFormat="false" ht="15" hidden="false" customHeight="true" outlineLevel="0" collapsed="false">
      <c r="A49" s="9" t="s">
        <v>465</v>
      </c>
      <c r="B49" s="9" t="n">
        <f aca="false">COUNTIF(Dataset!$U$2:$U$49,"Medium")</f>
        <v>9</v>
      </c>
    </row>
    <row r="50" customFormat="false" ht="15" hidden="false" customHeight="true" outlineLevel="0" collapsed="false">
      <c r="A50" s="9" t="s">
        <v>466</v>
      </c>
      <c r="B50" s="9" t="n">
        <f aca="false">COUNTIF(Dataset!$U$2:$U$49,"Low")</f>
        <v>1</v>
      </c>
    </row>
    <row r="51" customFormat="false" ht="15" hidden="false" customHeight="true" outlineLevel="0" collapsed="false">
      <c r="A51" s="9" t="s">
        <v>467</v>
      </c>
      <c r="B51" s="9" t="n">
        <f aca="false">COUNTIF(Dataset!$Q$2:$Q$49,"*Flash loan*")</f>
        <v>4</v>
      </c>
    </row>
    <row r="53" customFormat="false" ht="15" hidden="false" customHeight="true" outlineLevel="0" collapsed="false">
      <c r="A53" s="14" t="s">
        <v>468</v>
      </c>
      <c r="B53" s="14" t="s">
        <v>462</v>
      </c>
    </row>
    <row r="54" customFormat="false" ht="15" hidden="false" customHeight="true" outlineLevel="0" collapsed="false">
      <c r="A54" s="9" t="s">
        <v>469</v>
      </c>
      <c r="B54" s="15" t="n">
        <f aca="false">MAX(Dataset!$F$2:$F$49)/$B$6</f>
        <v>0.233589785628909</v>
      </c>
    </row>
    <row r="55" customFormat="false" ht="15" hidden="false" customHeight="true" outlineLevel="0" collapsed="false">
      <c r="A55" s="9" t="s">
        <v>470</v>
      </c>
      <c r="B55" s="15" t="n">
        <f aca="false">(LARGE(Dataset!$F$2:$F$49,1)+LARGE(Dataset!$F$2:$F$49,2)+LARGE(Dataset!$F$2:$F$49,3)+LARGE(Dataset!$F$2:$F$49,4)+LARGE(Dataset!$F$2:$F$49,5))/$B$6</f>
        <v>0.747113570355504</v>
      </c>
    </row>
    <row r="56" customFormat="false" ht="15" hidden="false" customHeight="true" outlineLevel="0" collapsed="false">
      <c r="A56" s="9" t="s">
        <v>471</v>
      </c>
      <c r="B56" s="15" t="n">
        <f aca="false">(LARGE(Dataset!$F$2:$F$49,1)+LARGE(Dataset!$F$2:$F$49,2)+LARGE(Dataset!$F$2:$F$49,3)+LARGE(Dataset!$F$2:$F$49,4)+LARGE(Dataset!$F$2:$F$49,5)+LARGE(Dataset!$F$2:$F$49,6)+LARGE(Dataset!$F$2:$F$49,7)+LARGE(Dataset!$F$2:$F$49,8)+LARGE(Dataset!$F$2:$F$49,9)+LARGE(Dataset!$F$2:$F$49,10))/$B$6</f>
        <v>0.92438018687357</v>
      </c>
    </row>
    <row r="57" customFormat="false" ht="15" hidden="false" customHeight="true" outlineLevel="0" collapsed="false">
      <c r="A57" s="9" t="s">
        <v>472</v>
      </c>
      <c r="B57" s="18" t="n">
        <f aca="false" t="array" ref="B57:B57">SUMPRODUCT(ABS(Dataset!$F$2:$F$49-TRANSPOSE(Dataset!$F$2:$F$49)))/(2*COUNT(Dataset!$F$2:$F$49)^2*AVERAGE(Dataset!$F$2:$F$49))</f>
        <v>0.832617674254955</v>
      </c>
    </row>
    <row r="59" customFormat="false" ht="15" hidden="false" customHeight="true" outlineLevel="0" collapsed="false">
      <c r="A59" s="14" t="s">
        <v>473</v>
      </c>
      <c r="B59" s="14" t="s">
        <v>474</v>
      </c>
      <c r="C59" s="14" t="s">
        <v>475</v>
      </c>
    </row>
    <row r="60" customFormat="false" ht="15" hidden="false" customHeight="true" outlineLevel="0" collapsed="false">
      <c r="A60" s="9" t="s">
        <v>476</v>
      </c>
      <c r="B60" s="9" t="n">
        <f aca="false">COUNTA(Dataset!$V$2:$V$49)</f>
        <v>0</v>
      </c>
      <c r="C60" s="9" t="n">
        <f aca="false">COUNTA(Dataset!$W$2:$W$49)</f>
        <v>0</v>
      </c>
    </row>
    <row r="61" customFormat="false" ht="15" hidden="false" customHeight="true" outlineLevel="0" collapsed="false">
      <c r="A61" s="9" t="s">
        <v>477</v>
      </c>
      <c r="B61" s="15" t="str">
        <f aca="false">IF(B60=0,"Awaiting second coder",SUMPRODUCT((Dataset!$M$2:$M$49=Dataset!$V$2:$V$49)*(Dataset!$V$2:$V$49&lt;&gt;""))/B60)</f>
        <v>Awaiting second coder</v>
      </c>
      <c r="C61" s="15" t="str">
        <f aca="false">IF(C60=0,"Awaiting second coder",SUMPRODUCT((Dataset!$N$2:$N$49=Dataset!$W$2:$W$49)*(Dataset!$W$2:$W$49&lt;&gt;""))/C60)</f>
        <v>Awaiting second coder</v>
      </c>
    </row>
    <row r="62" customFormat="false" ht="15" hidden="false" customHeight="true" outlineLevel="0" collapsed="false">
      <c r="A62" s="9" t="s">
        <v>478</v>
      </c>
      <c r="B62" s="18" t="str">
        <f aca="false">IF(B60=0,"",SUMPRODUCT(C66:C71,D66:D71)/B60^2)</f>
        <v/>
      </c>
      <c r="C62" s="18" t="str">
        <f aca="false">IF(C60=0,"",SUMPRODUCT(C74:C78,D74:D78)/C60^2)</f>
        <v/>
      </c>
    </row>
    <row r="63" customFormat="false" ht="15" hidden="false" customHeight="true" outlineLevel="0" collapsed="false">
      <c r="A63" s="9" t="s">
        <v>479</v>
      </c>
      <c r="B63" s="18" t="str">
        <f aca="false">IF(B60=0,"Awaiting second coder",(B61-B62)/(1-B62))</f>
        <v>Awaiting second coder</v>
      </c>
      <c r="C63" s="18" t="str">
        <f aca="false">IF(C60=0,"Awaiting second coder",(C61-C62)/(1-C62))</f>
        <v>Awaiting second coder</v>
      </c>
    </row>
    <row r="65" customFormat="false" ht="15" hidden="false" customHeight="true" outlineLevel="0" collapsed="false">
      <c r="A65" s="14" t="s">
        <v>480</v>
      </c>
      <c r="C65" s="14" t="s">
        <v>481</v>
      </c>
      <c r="D65" s="14" t="s">
        <v>482</v>
      </c>
    </row>
    <row r="66" customFormat="false" ht="15" hidden="false" customHeight="true" outlineLevel="0" collapsed="false">
      <c r="A66" s="9" t="str">
        <f aca="false">A13</f>
        <v>Event Injection (EI)</v>
      </c>
      <c r="C66" s="9" t="n">
        <f aca="false">COUNTIFS(Dataset!$M$2:$M$49,$A66,Dataset!$V$2:$V$49,"&lt;&gt;")</f>
        <v>0</v>
      </c>
      <c r="D66" s="9" t="n">
        <f aca="false">COUNTIF(Dataset!$V$2:$V$49,$A66)</f>
        <v>0</v>
      </c>
    </row>
    <row r="67" customFormat="false" ht="15" hidden="false" customHeight="true" outlineLevel="0" collapsed="false">
      <c r="A67" s="9" t="str">
        <f aca="false">A14</f>
        <v>Proof Forgery (PF)</v>
      </c>
      <c r="C67" s="9" t="n">
        <f aca="false">COUNTIFS(Dataset!$M$2:$M$49,$A67,Dataset!$V$2:$V$49,"&lt;&gt;")</f>
        <v>0</v>
      </c>
      <c r="D67" s="9" t="n">
        <f aca="false">COUNTIF(Dataset!$V$2:$V$49,$A67)</f>
        <v>0</v>
      </c>
    </row>
    <row r="68" customFormat="false" ht="15" hidden="false" customHeight="true" outlineLevel="0" collapsed="false">
      <c r="A68" s="9" t="str">
        <f aca="false">A15</f>
        <v>Logic Exploitation (LE)</v>
      </c>
      <c r="C68" s="9" t="n">
        <f aca="false">COUNTIFS(Dataset!$M$2:$M$49,$A68,Dataset!$V$2:$V$49,"&lt;&gt;")</f>
        <v>0</v>
      </c>
      <c r="D68" s="9" t="n">
        <f aca="false">COUNTIF(Dataset!$V$2:$V$49,$A68)</f>
        <v>0</v>
      </c>
    </row>
    <row r="69" customFormat="false" ht="15" hidden="false" customHeight="true" outlineLevel="0" collapsed="false">
      <c r="A69" s="9" t="str">
        <f aca="false">A16</f>
        <v>Economic-State Manipulation (ESM)</v>
      </c>
      <c r="C69" s="9" t="n">
        <f aca="false">COUNTIFS(Dataset!$M$2:$M$49,$A69,Dataset!$V$2:$V$49,"&lt;&gt;")</f>
        <v>0</v>
      </c>
      <c r="D69" s="9" t="n">
        <f aca="false">COUNTIF(Dataset!$V$2:$V$49,$A69)</f>
        <v>0</v>
      </c>
    </row>
    <row r="70" customFormat="false" ht="15" hidden="false" customHeight="true" outlineLevel="0" collapsed="false">
      <c r="A70" s="9" t="str">
        <f aca="false">A17</f>
        <v>Credential Seizure (CS)</v>
      </c>
      <c r="C70" s="9" t="n">
        <f aca="false">COUNTIFS(Dataset!$M$2:$M$49,$A70,Dataset!$V$2:$V$49,"&lt;&gt;")</f>
        <v>0</v>
      </c>
      <c r="D70" s="9" t="n">
        <f aca="false">COUNTIF(Dataset!$V$2:$V$49,$A70)</f>
        <v>0</v>
      </c>
    </row>
    <row r="71" customFormat="false" ht="15" hidden="false" customHeight="true" outlineLevel="0" collapsed="false">
      <c r="A71" s="9" t="str">
        <f aca="false">A18</f>
        <v>Infrastructure Hijacking (IH)</v>
      </c>
      <c r="C71" s="9" t="n">
        <f aca="false">COUNTIFS(Dataset!$M$2:$M$49,$A71,Dataset!$V$2:$V$49,"&lt;&gt;")</f>
        <v>0</v>
      </c>
      <c r="D71" s="9" t="n">
        <f aca="false">COUNTIF(Dataset!$V$2:$V$49,$A71)</f>
        <v>0</v>
      </c>
    </row>
    <row r="73" customFormat="false" ht="15" hidden="false" customHeight="true" outlineLevel="0" collapsed="false">
      <c r="A73" s="14" t="s">
        <v>483</v>
      </c>
      <c r="C73" s="14" t="s">
        <v>481</v>
      </c>
      <c r="D73" s="14" t="s">
        <v>482</v>
      </c>
    </row>
    <row r="74" customFormat="false" ht="15" hidden="false" customHeight="true" outlineLevel="0" collapsed="false">
      <c r="A74" s="9" t="str">
        <f aca="false">A22</f>
        <v>FD-1 Deposit</v>
      </c>
      <c r="C74" s="9" t="n">
        <f aca="false">COUNTIFS(Dataset!$N$2:$N$49,$A74,Dataset!$W$2:$W$49,"&lt;&gt;")</f>
        <v>0</v>
      </c>
      <c r="D74" s="9" t="n">
        <f aca="false">COUNTIF(Dataset!$W$2:$W$49,$A74)</f>
        <v>0</v>
      </c>
    </row>
    <row r="75" customFormat="false" ht="15" hidden="false" customHeight="true" outlineLevel="0" collapsed="false">
      <c r="A75" s="9" t="str">
        <f aca="false">A23</f>
        <v>FD-2 Relay</v>
      </c>
      <c r="C75" s="9" t="n">
        <f aca="false">COUNTIFS(Dataset!$N$2:$N$49,$A75,Dataset!$W$2:$W$49,"&lt;&gt;")</f>
        <v>0</v>
      </c>
      <c r="D75" s="9" t="n">
        <f aca="false">COUNTIF(Dataset!$W$2:$W$49,$A75)</f>
        <v>0</v>
      </c>
    </row>
    <row r="76" customFormat="false" ht="15" hidden="false" customHeight="true" outlineLevel="0" collapsed="false">
      <c r="A76" s="9" t="str">
        <f aca="false">A24</f>
        <v>FD-3 Verification</v>
      </c>
      <c r="C76" s="9" t="n">
        <f aca="false">COUNTIFS(Dataset!$N$2:$N$49,$A76,Dataset!$W$2:$W$49,"&lt;&gt;")</f>
        <v>0</v>
      </c>
      <c r="D76" s="9" t="n">
        <f aca="false">COUNTIF(Dataset!$W$2:$W$49,$A76)</f>
        <v>0</v>
      </c>
    </row>
    <row r="77" customFormat="false" ht="15" hidden="false" customHeight="true" outlineLevel="0" collapsed="false">
      <c r="A77" s="9" t="str">
        <f aca="false">A25</f>
        <v>FD-4 Execution</v>
      </c>
      <c r="C77" s="9" t="n">
        <f aca="false">COUNTIFS(Dataset!$N$2:$N$49,$A77,Dataset!$W$2:$W$49,"&lt;&gt;")</f>
        <v>0</v>
      </c>
      <c r="D77" s="9" t="n">
        <f aca="false">COUNTIF(Dataset!$W$2:$W$49,$A77)</f>
        <v>0</v>
      </c>
    </row>
    <row r="78" customFormat="false" ht="15" hidden="false" customHeight="true" outlineLevel="0" collapsed="false">
      <c r="A78" s="9" t="str">
        <f aca="false">A26</f>
        <v>FD-5 Governance &amp; Operations</v>
      </c>
      <c r="C78" s="9" t="n">
        <f aca="false">COUNTIFS(Dataset!$N$2:$N$49,$A78,Dataset!$W$2:$W$49,"&lt;&gt;")</f>
        <v>0</v>
      </c>
      <c r="D78" s="9" t="n">
        <f aca="false">COUNTIF(Dataset!$W$2:$W$49,$A78)</f>
        <v>0</v>
      </c>
    </row>
    <row r="80" customFormat="false" ht="15" hidden="false" customHeight="false" outlineLevel="0" collapsed="false">
      <c r="A80" s="14" t="s">
        <v>23</v>
      </c>
      <c r="B80" s="14" t="s">
        <v>455</v>
      </c>
      <c r="C80" s="14" t="s">
        <v>484</v>
      </c>
    </row>
    <row r="81" customFormat="false" ht="15" hidden="false" customHeight="false" outlineLevel="0" collapsed="false">
      <c r="A81" s="9" t="s">
        <v>37</v>
      </c>
      <c r="B81" s="9" t="n">
        <f aca="false">COUNTIF(Dataset!$X$2:$X$49,$A81)</f>
        <v>32</v>
      </c>
      <c r="C81" s="12" t="n">
        <f aca="false">SUMIFS(Dataset!$F$2:$F$49,Dataset!$X$2:$X$49,$A81)</f>
        <v>1374824000</v>
      </c>
    </row>
    <row r="82" customFormat="false" ht="15" hidden="false" customHeight="false" outlineLevel="0" collapsed="false">
      <c r="A82" s="9" t="s">
        <v>152</v>
      </c>
      <c r="B82" s="9" t="n">
        <f aca="false">COUNTIF(Dataset!$X$2:$X$49,$A82)</f>
        <v>7</v>
      </c>
      <c r="C82" s="12" t="n">
        <f aca="false">SUMIFS(Dataset!$F$2:$F$49,Dataset!$X$2:$X$49,$A82)</f>
        <v>18806693</v>
      </c>
    </row>
    <row r="83" customFormat="false" ht="15" hidden="false" customHeight="false" outlineLevel="0" collapsed="false">
      <c r="A83" s="9" t="s">
        <v>165</v>
      </c>
      <c r="B83" s="9" t="n">
        <f aca="false">COUNTIF(Dataset!$X$2:$X$49,$A83)</f>
        <v>3</v>
      </c>
      <c r="C83" s="12" t="n">
        <f aca="false">SUMIFS(Dataset!$F$2:$F$49,Dataset!$X$2:$X$49,$A83)</f>
        <v>1184000000</v>
      </c>
    </row>
    <row r="84" customFormat="false" ht="15" hidden="false" customHeight="false" outlineLevel="0" collapsed="false">
      <c r="A84" s="9" t="s">
        <v>223</v>
      </c>
      <c r="B84" s="9" t="n">
        <f aca="false">COUNTIF(Dataset!$X$2:$X$49,$A84)</f>
        <v>3</v>
      </c>
      <c r="C84" s="12" t="n">
        <f aca="false">SUMIFS(Dataset!$F$2:$F$49,Dataset!$X$2:$X$49,$A84)</f>
        <v>84200000</v>
      </c>
    </row>
    <row r="85" customFormat="false" ht="15" hidden="false" customHeight="false" outlineLevel="0" collapsed="false">
      <c r="A85" s="9" t="s">
        <v>174</v>
      </c>
      <c r="B85" s="9" t="n">
        <f aca="false">COUNTIF(Dataset!$X$2:$X$49,$A85)</f>
        <v>3</v>
      </c>
      <c r="C85" s="12" t="n">
        <f aca="false">SUMIFS(Dataset!$F$2:$F$49,Dataset!$X$2:$X$49,$A85)</f>
        <v>13800000</v>
      </c>
    </row>
    <row r="86" customFormat="false" ht="15" hidden="false" customHeight="false" outlineLevel="0" collapsed="false">
      <c r="A86" s="14" t="s">
        <v>459</v>
      </c>
      <c r="B86" s="9" t="n">
        <f aca="false">SUM(B81:B85)</f>
        <v>48</v>
      </c>
      <c r="C86" s="12" t="n">
        <f aca="false">SUM(C81:C85)</f>
        <v>2675630693</v>
      </c>
      <c r="F86" s="9" t="str">
        <f aca="false">IF(B86=$B$4,"OK — reconciles","CHECK — does not reconcile")</f>
        <v>OK — reconciles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8"/>
    <col collapsed="false" customWidth="true" hidden="false" outlineLevel="0" max="3" min="3" style="1" width="22"/>
    <col collapsed="false" customWidth="true" hidden="false" outlineLevel="0" max="4" min="4" style="1" width="60"/>
    <col collapsed="false" customWidth="true" hidden="false" outlineLevel="0" max="7" min="5" style="1" width="30"/>
    <col collapsed="false" customWidth="true" hidden="false" outlineLevel="0" max="8" min="8" style="1" width="24"/>
    <col collapsed="false" customWidth="true" hidden="false" outlineLevel="0" max="9" min="9" style="1" width="20"/>
    <col collapsed="false" customWidth="true" hidden="false" outlineLevel="0" max="10" min="10" style="1" width="60"/>
    <col collapsed="false" customWidth="true" hidden="false" outlineLevel="0" max="11" min="11" style="1" width="26"/>
    <col collapsed="false" customWidth="true" hidden="false" outlineLevel="0" max="12" min="12" style="1" width="60"/>
  </cols>
  <sheetData>
    <row r="1" customFormat="false" ht="26.25" hidden="false" customHeight="true" outlineLevel="0" collapsed="false">
      <c r="A1" s="2" t="s">
        <v>485</v>
      </c>
      <c r="B1" s="2" t="s">
        <v>3</v>
      </c>
      <c r="C1" s="2" t="s">
        <v>4</v>
      </c>
      <c r="D1" s="2" t="s">
        <v>7</v>
      </c>
      <c r="E1" s="2" t="s">
        <v>8</v>
      </c>
      <c r="F1" s="2" t="s">
        <v>9</v>
      </c>
      <c r="G1" s="2" t="s">
        <v>10</v>
      </c>
      <c r="H1" s="2" t="s">
        <v>486</v>
      </c>
      <c r="I1" s="2" t="s">
        <v>487</v>
      </c>
      <c r="J1" s="2" t="s">
        <v>488</v>
      </c>
      <c r="K1" s="2" t="s">
        <v>489</v>
      </c>
      <c r="L1" s="2" t="s">
        <v>490</v>
      </c>
    </row>
    <row r="2" customFormat="false" ht="141" hidden="false" customHeight="true" outlineLevel="0" collapsed="false">
      <c r="A2" s="3" t="s">
        <v>491</v>
      </c>
      <c r="B2" s="3" t="s">
        <v>492</v>
      </c>
      <c r="C2" s="3" t="s">
        <v>493</v>
      </c>
      <c r="D2" s="3" t="s">
        <v>494</v>
      </c>
      <c r="E2" s="3" t="s">
        <v>495</v>
      </c>
      <c r="F2" s="3" t="s">
        <v>496</v>
      </c>
      <c r="G2" s="3" t="s">
        <v>497</v>
      </c>
      <c r="H2" s="3" t="s">
        <v>164</v>
      </c>
      <c r="I2" s="3" t="s">
        <v>84</v>
      </c>
      <c r="J2" s="3" t="s">
        <v>498</v>
      </c>
      <c r="K2" s="3" t="s">
        <v>499</v>
      </c>
      <c r="L2" s="3" t="s">
        <v>500</v>
      </c>
    </row>
    <row r="3" customFormat="false" ht="153" hidden="false" customHeight="true" outlineLevel="0" collapsed="false">
      <c r="A3" s="3" t="s">
        <v>501</v>
      </c>
      <c r="B3" s="3" t="s">
        <v>502</v>
      </c>
      <c r="C3" s="3" t="s">
        <v>503</v>
      </c>
      <c r="D3" s="3" t="s">
        <v>504</v>
      </c>
      <c r="E3" s="3" t="s">
        <v>307</v>
      </c>
      <c r="F3" s="3" t="s">
        <v>308</v>
      </c>
      <c r="G3" s="3"/>
      <c r="H3" s="3" t="s">
        <v>150</v>
      </c>
      <c r="I3" s="3" t="s">
        <v>103</v>
      </c>
      <c r="J3" s="3" t="s">
        <v>505</v>
      </c>
      <c r="K3" s="3" t="s">
        <v>506</v>
      </c>
      <c r="L3" s="3" t="s">
        <v>507</v>
      </c>
    </row>
    <row r="4" customFormat="false" ht="141" hidden="false" customHeight="true" outlineLevel="0" collapsed="false">
      <c r="A4" s="3" t="s">
        <v>508</v>
      </c>
      <c r="B4" s="3" t="s">
        <v>509</v>
      </c>
      <c r="C4" s="3" t="s">
        <v>510</v>
      </c>
      <c r="D4" s="3" t="s">
        <v>511</v>
      </c>
      <c r="E4" s="3" t="s">
        <v>512</v>
      </c>
      <c r="F4" s="3" t="s">
        <v>513</v>
      </c>
      <c r="G4" s="3" t="s">
        <v>514</v>
      </c>
      <c r="H4" s="3" t="s">
        <v>150</v>
      </c>
      <c r="I4" s="3" t="s">
        <v>103</v>
      </c>
      <c r="J4" s="3" t="s">
        <v>515</v>
      </c>
      <c r="K4" s="3" t="s">
        <v>506</v>
      </c>
      <c r="L4" s="3" t="s">
        <v>516</v>
      </c>
    </row>
    <row r="5" customFormat="false" ht="128.25" hidden="false" customHeight="true" outlineLevel="0" collapsed="false">
      <c r="A5" s="3" t="s">
        <v>517</v>
      </c>
      <c r="B5" s="3" t="s">
        <v>518</v>
      </c>
      <c r="C5" s="3" t="s">
        <v>346</v>
      </c>
      <c r="D5" s="3" t="s">
        <v>519</v>
      </c>
      <c r="E5" s="3" t="s">
        <v>520</v>
      </c>
      <c r="F5" s="3" t="s">
        <v>521</v>
      </c>
      <c r="G5" s="3" t="s">
        <v>522</v>
      </c>
      <c r="H5" s="3" t="s">
        <v>83</v>
      </c>
      <c r="I5" s="3" t="s">
        <v>84</v>
      </c>
      <c r="J5" s="3" t="s">
        <v>523</v>
      </c>
      <c r="K5" s="3" t="s">
        <v>524</v>
      </c>
      <c r="L5" s="3" t="s">
        <v>525</v>
      </c>
    </row>
    <row r="6" customFormat="false" ht="128.25" hidden="false" customHeight="true" outlineLevel="0" collapsed="false">
      <c r="A6" s="3" t="s">
        <v>526</v>
      </c>
      <c r="B6" s="3" t="s">
        <v>527</v>
      </c>
      <c r="C6" s="3" t="s">
        <v>528</v>
      </c>
      <c r="D6" s="3" t="s">
        <v>529</v>
      </c>
      <c r="E6" s="3" t="s">
        <v>530</v>
      </c>
      <c r="F6" s="3" t="s">
        <v>531</v>
      </c>
      <c r="G6" s="3" t="s">
        <v>532</v>
      </c>
      <c r="H6" s="3" t="s">
        <v>164</v>
      </c>
      <c r="I6" s="3" t="s">
        <v>84</v>
      </c>
      <c r="J6" s="3" t="s">
        <v>533</v>
      </c>
      <c r="K6" s="3" t="s">
        <v>534</v>
      </c>
      <c r="L6" s="3" t="s">
        <v>535</v>
      </c>
    </row>
    <row r="7" customFormat="false" ht="128.25" hidden="false" customHeight="true" outlineLevel="0" collapsed="false">
      <c r="A7" s="3" t="s">
        <v>536</v>
      </c>
      <c r="B7" s="3" t="s">
        <v>537</v>
      </c>
      <c r="C7" s="3" t="s">
        <v>538</v>
      </c>
      <c r="D7" s="3" t="s">
        <v>539</v>
      </c>
      <c r="E7" s="3" t="s">
        <v>540</v>
      </c>
      <c r="F7" s="3" t="s">
        <v>541</v>
      </c>
      <c r="G7" s="3" t="s">
        <v>542</v>
      </c>
      <c r="H7" s="3" t="s">
        <v>83</v>
      </c>
      <c r="I7" s="3" t="s">
        <v>84</v>
      </c>
      <c r="J7" s="3" t="s">
        <v>543</v>
      </c>
      <c r="K7" s="3" t="s">
        <v>544</v>
      </c>
      <c r="L7" s="3" t="s">
        <v>545</v>
      </c>
    </row>
    <row r="8" customFormat="false" ht="153" hidden="false" customHeight="true" outlineLevel="0" collapsed="false">
      <c r="A8" s="3" t="s">
        <v>546</v>
      </c>
      <c r="B8" s="3" t="s">
        <v>547</v>
      </c>
      <c r="C8" s="3" t="s">
        <v>548</v>
      </c>
      <c r="D8" s="3" t="s">
        <v>549</v>
      </c>
      <c r="E8" s="3" t="s">
        <v>550</v>
      </c>
      <c r="F8" s="3" t="s">
        <v>551</v>
      </c>
      <c r="G8" s="3" t="s">
        <v>552</v>
      </c>
      <c r="H8" s="3" t="s">
        <v>150</v>
      </c>
      <c r="I8" s="3" t="s">
        <v>103</v>
      </c>
      <c r="J8" s="3" t="s">
        <v>553</v>
      </c>
      <c r="K8" s="3" t="s">
        <v>506</v>
      </c>
      <c r="L8" s="3" t="s">
        <v>554</v>
      </c>
    </row>
    <row r="9" customFormat="false" ht="39" hidden="false" customHeight="true" outlineLevel="0" collapsed="false">
      <c r="A9" s="3" t="s">
        <v>555</v>
      </c>
      <c r="B9" s="3" t="s">
        <v>556</v>
      </c>
      <c r="C9" s="3" t="s">
        <v>557</v>
      </c>
      <c r="D9" s="3" t="s">
        <v>558</v>
      </c>
      <c r="E9" s="3"/>
      <c r="F9" s="3"/>
      <c r="G9" s="3"/>
      <c r="H9" s="3" t="s">
        <v>150</v>
      </c>
      <c r="I9" s="3" t="s">
        <v>103</v>
      </c>
      <c r="J9" s="3"/>
      <c r="K9" s="3" t="s">
        <v>559</v>
      </c>
      <c r="L9" s="3" t="s">
        <v>560</v>
      </c>
    </row>
    <row r="10" customFormat="false" ht="39" hidden="false" customHeight="true" outlineLevel="0" collapsed="false">
      <c r="A10" s="3" t="s">
        <v>561</v>
      </c>
      <c r="B10" s="3" t="s">
        <v>562</v>
      </c>
      <c r="C10" s="3" t="s">
        <v>563</v>
      </c>
      <c r="D10" s="3" t="s">
        <v>564</v>
      </c>
      <c r="E10" s="3" t="s">
        <v>565</v>
      </c>
      <c r="F10" s="3"/>
      <c r="G10" s="3"/>
      <c r="H10" s="3" t="s">
        <v>32</v>
      </c>
      <c r="I10" s="3" t="s">
        <v>33</v>
      </c>
      <c r="J10" s="3"/>
      <c r="K10" s="3" t="s">
        <v>559</v>
      </c>
      <c r="L10" s="3" t="s">
        <v>560</v>
      </c>
    </row>
    <row r="11" customFormat="false" ht="39" hidden="false" customHeight="true" outlineLevel="0" collapsed="false">
      <c r="A11" s="3" t="s">
        <v>566</v>
      </c>
      <c r="B11" s="3" t="s">
        <v>567</v>
      </c>
      <c r="C11" s="3" t="s">
        <v>568</v>
      </c>
      <c r="D11" s="3" t="s">
        <v>569</v>
      </c>
      <c r="E11" s="3" t="s">
        <v>570</v>
      </c>
      <c r="F11" s="3"/>
      <c r="G11" s="3"/>
      <c r="H11" s="3" t="s">
        <v>150</v>
      </c>
      <c r="I11" s="3" t="s">
        <v>103</v>
      </c>
      <c r="J11" s="3"/>
      <c r="K11" s="3" t="s">
        <v>559</v>
      </c>
      <c r="L11" s="3" t="s">
        <v>560</v>
      </c>
    </row>
    <row r="12" customFormat="false" ht="39" hidden="false" customHeight="true" outlineLevel="0" collapsed="false">
      <c r="A12" s="3" t="s">
        <v>571</v>
      </c>
      <c r="B12" s="3" t="s">
        <v>572</v>
      </c>
      <c r="C12" s="3" t="s">
        <v>573</v>
      </c>
      <c r="D12" s="3" t="s">
        <v>574</v>
      </c>
      <c r="E12" s="3" t="s">
        <v>575</v>
      </c>
      <c r="F12" s="3"/>
      <c r="G12" s="3"/>
      <c r="H12" s="3" t="s">
        <v>47</v>
      </c>
      <c r="I12" s="3" t="s">
        <v>48</v>
      </c>
      <c r="J12" s="3"/>
      <c r="K12" s="3" t="s">
        <v>559</v>
      </c>
      <c r="L12" s="3" t="s">
        <v>560</v>
      </c>
    </row>
    <row r="13" customFormat="false" ht="64.5" hidden="false" customHeight="true" outlineLevel="0" collapsed="false">
      <c r="A13" s="3" t="s">
        <v>576</v>
      </c>
      <c r="B13" s="3" t="s">
        <v>136</v>
      </c>
      <c r="C13" s="3" t="s">
        <v>577</v>
      </c>
      <c r="D13" s="3" t="s">
        <v>578</v>
      </c>
      <c r="E13" s="3" t="s">
        <v>579</v>
      </c>
      <c r="F13" s="3"/>
      <c r="G13" s="3"/>
      <c r="H13" s="3" t="s">
        <v>32</v>
      </c>
      <c r="I13" s="3" t="s">
        <v>33</v>
      </c>
      <c r="J13" s="3"/>
      <c r="K13" s="3" t="s">
        <v>559</v>
      </c>
      <c r="L13" s="3" t="s">
        <v>560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10"/>
  </cols>
  <sheetData>
    <row r="1" customFormat="false" ht="15" hidden="false" customHeight="true" outlineLevel="0" collapsed="false">
      <c r="A1" s="19" t="s">
        <v>580</v>
      </c>
      <c r="B1" s="20"/>
    </row>
    <row r="2" customFormat="false" ht="15" hidden="false" customHeight="true" outlineLevel="0" collapsed="false">
      <c r="A2" s="3" t="s">
        <v>446</v>
      </c>
      <c r="B2" s="3" t="s">
        <v>581</v>
      </c>
    </row>
    <row r="3" customFormat="false" ht="26.25" hidden="false" customHeight="true" outlineLevel="0" collapsed="false">
      <c r="A3" s="3" t="s">
        <v>582</v>
      </c>
      <c r="B3" s="3" t="s">
        <v>583</v>
      </c>
    </row>
    <row r="4" customFormat="false" ht="51.75" hidden="false" customHeight="true" outlineLevel="0" collapsed="false">
      <c r="A4" s="3" t="s">
        <v>584</v>
      </c>
      <c r="B4" s="3" t="s">
        <v>585</v>
      </c>
    </row>
    <row r="5" customFormat="false" ht="39" hidden="false" customHeight="true" outlineLevel="0" collapsed="false">
      <c r="A5" s="3" t="s">
        <v>586</v>
      </c>
      <c r="B5" s="3" t="s">
        <v>587</v>
      </c>
    </row>
    <row r="6" customFormat="false" ht="26.25" hidden="false" customHeight="true" outlineLevel="0" collapsed="false">
      <c r="A6" s="3" t="s">
        <v>588</v>
      </c>
      <c r="B6" s="3" t="s">
        <v>589</v>
      </c>
    </row>
    <row r="7" customFormat="false" ht="15" hidden="false" customHeight="true" outlineLevel="0" collapsed="false">
      <c r="A7" s="19" t="s">
        <v>590</v>
      </c>
      <c r="B7" s="20"/>
    </row>
    <row r="8" customFormat="false" ht="51.75" hidden="false" customHeight="true" outlineLevel="0" collapsed="false">
      <c r="A8" s="3" t="s">
        <v>5</v>
      </c>
      <c r="B8" s="3" t="s">
        <v>591</v>
      </c>
    </row>
    <row r="9" customFormat="false" ht="26.25" hidden="false" customHeight="true" outlineLevel="0" collapsed="false">
      <c r="A9" s="19" t="s">
        <v>592</v>
      </c>
      <c r="B9" s="20"/>
    </row>
    <row r="10" customFormat="false" ht="15" hidden="false" customHeight="true" outlineLevel="0" collapsed="false">
      <c r="A10" s="3" t="s">
        <v>32</v>
      </c>
      <c r="B10" s="3" t="s">
        <v>593</v>
      </c>
    </row>
    <row r="11" customFormat="false" ht="26.25" hidden="false" customHeight="true" outlineLevel="0" collapsed="false">
      <c r="A11" s="3" t="s">
        <v>47</v>
      </c>
      <c r="B11" s="3" t="s">
        <v>594</v>
      </c>
    </row>
    <row r="12" customFormat="false" ht="26.25" hidden="false" customHeight="true" outlineLevel="0" collapsed="false">
      <c r="A12" s="3" t="s">
        <v>150</v>
      </c>
      <c r="B12" s="3" t="s">
        <v>595</v>
      </c>
    </row>
    <row r="13" customFormat="false" ht="39" hidden="false" customHeight="true" outlineLevel="0" collapsed="false">
      <c r="A13" s="3" t="s">
        <v>102</v>
      </c>
      <c r="B13" s="3" t="s">
        <v>596</v>
      </c>
    </row>
    <row r="14" customFormat="false" ht="26.25" hidden="false" customHeight="true" outlineLevel="0" collapsed="false">
      <c r="A14" s="3" t="s">
        <v>83</v>
      </c>
      <c r="B14" s="3" t="s">
        <v>597</v>
      </c>
    </row>
    <row r="15" customFormat="false" ht="26.25" hidden="false" customHeight="true" outlineLevel="0" collapsed="false">
      <c r="A15" s="3" t="s">
        <v>164</v>
      </c>
      <c r="B15" s="3" t="s">
        <v>598</v>
      </c>
    </row>
    <row r="16" customFormat="false" ht="26.25" hidden="false" customHeight="true" outlineLevel="0" collapsed="false">
      <c r="A16" s="19" t="s">
        <v>599</v>
      </c>
      <c r="B16" s="20"/>
    </row>
    <row r="17" customFormat="false" ht="15" hidden="false" customHeight="true" outlineLevel="0" collapsed="false">
      <c r="A17" s="3" t="s">
        <v>33</v>
      </c>
      <c r="B17" s="3" t="s">
        <v>600</v>
      </c>
    </row>
    <row r="18" customFormat="false" ht="15" hidden="false" customHeight="true" outlineLevel="0" collapsed="false">
      <c r="A18" s="3" t="s">
        <v>113</v>
      </c>
      <c r="B18" s="3" t="s">
        <v>601</v>
      </c>
    </row>
    <row r="19" customFormat="false" ht="15" hidden="false" customHeight="true" outlineLevel="0" collapsed="false">
      <c r="A19" s="3" t="s">
        <v>48</v>
      </c>
      <c r="B19" s="3" t="s">
        <v>602</v>
      </c>
    </row>
    <row r="20" customFormat="false" ht="15" hidden="false" customHeight="true" outlineLevel="0" collapsed="false">
      <c r="A20" s="3" t="s">
        <v>103</v>
      </c>
      <c r="B20" s="3" t="s">
        <v>603</v>
      </c>
    </row>
    <row r="21" customFormat="false" ht="26.25" hidden="false" customHeight="true" outlineLevel="0" collapsed="false">
      <c r="A21" s="3" t="s">
        <v>84</v>
      </c>
      <c r="B21" s="3" t="s">
        <v>604</v>
      </c>
    </row>
    <row r="22" customFormat="false" ht="15" hidden="false" customHeight="true" outlineLevel="0" collapsed="false">
      <c r="A22" s="19" t="s">
        <v>605</v>
      </c>
      <c r="B22" s="20"/>
    </row>
    <row r="23" customFormat="false" ht="15" hidden="false" customHeight="true" outlineLevel="0" collapsed="false">
      <c r="A23" s="3" t="s">
        <v>46</v>
      </c>
      <c r="B23" s="3" t="s">
        <v>606</v>
      </c>
    </row>
    <row r="24" customFormat="false" ht="15" hidden="false" customHeight="true" outlineLevel="0" collapsed="false">
      <c r="A24" s="3" t="s">
        <v>31</v>
      </c>
      <c r="B24" s="3" t="s">
        <v>607</v>
      </c>
    </row>
    <row r="25" customFormat="false" ht="15" hidden="false" customHeight="true" outlineLevel="0" collapsed="false">
      <c r="A25" s="3" t="s">
        <v>180</v>
      </c>
      <c r="B25" s="3" t="s">
        <v>608</v>
      </c>
    </row>
    <row r="26" customFormat="false" ht="26.25" hidden="false" customHeight="true" outlineLevel="0" collapsed="false">
      <c r="A26" s="3" t="s">
        <v>123</v>
      </c>
      <c r="B26" s="3" t="s">
        <v>609</v>
      </c>
    </row>
    <row r="28" customFormat="false" ht="26.25" hidden="false" customHeight="true" outlineLevel="0" collapsed="false">
      <c r="A28" s="19" t="s">
        <v>610</v>
      </c>
      <c r="B28" s="20"/>
    </row>
    <row r="29" customFormat="false" ht="26.25" hidden="false" customHeight="true" outlineLevel="0" collapsed="false">
      <c r="A29" s="3" t="s">
        <v>611</v>
      </c>
      <c r="B29" s="3" t="s">
        <v>612</v>
      </c>
    </row>
    <row r="30" customFormat="false" ht="39" hidden="false" customHeight="true" outlineLevel="0" collapsed="false">
      <c r="A30" s="3" t="s">
        <v>16</v>
      </c>
      <c r="B30" s="3" t="s">
        <v>613</v>
      </c>
    </row>
    <row r="31" customFormat="false" ht="26.25" hidden="false" customHeight="true" outlineLevel="0" collapsed="false">
      <c r="A31" s="3" t="s">
        <v>17</v>
      </c>
      <c r="B31" s="3" t="s">
        <v>614</v>
      </c>
    </row>
    <row r="32" customFormat="false" ht="26.25" hidden="false" customHeight="true" outlineLevel="0" collapsed="false">
      <c r="A32" s="3" t="s">
        <v>615</v>
      </c>
      <c r="B32" s="3" t="s">
        <v>616</v>
      </c>
    </row>
    <row r="33" customFormat="false" ht="26.25" hidden="false" customHeight="true" outlineLevel="0" collapsed="false">
      <c r="A33" s="3" t="s">
        <v>20</v>
      </c>
      <c r="B33" s="3" t="s">
        <v>617</v>
      </c>
    </row>
    <row r="34" customFormat="false" ht="39" hidden="false" customHeight="true" outlineLevel="0" collapsed="false">
      <c r="A34" s="3" t="s">
        <v>618</v>
      </c>
      <c r="B34" s="3" t="s">
        <v>619</v>
      </c>
    </row>
    <row r="35" customFormat="false" ht="26.25" hidden="false" customHeight="true" outlineLevel="0" collapsed="false">
      <c r="A35" s="3" t="s">
        <v>620</v>
      </c>
      <c r="B35" s="3" t="s">
        <v>621</v>
      </c>
    </row>
    <row r="36" customFormat="false" ht="64.9" hidden="false" customHeight="false" outlineLevel="0" collapsed="false">
      <c r="A36" s="3" t="s">
        <v>23</v>
      </c>
      <c r="B36" s="3" t="s">
        <v>622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10"/>
  </cols>
  <sheetData>
    <row r="1" customFormat="false" ht="15" hidden="false" customHeight="true" outlineLevel="0" collapsed="false">
      <c r="A1" s="19" t="s">
        <v>623</v>
      </c>
      <c r="B1" s="19" t="s">
        <v>624</v>
      </c>
    </row>
    <row r="2" customFormat="false" ht="39" hidden="false" customHeight="true" outlineLevel="0" collapsed="false">
      <c r="A2" s="3" t="s">
        <v>625</v>
      </c>
      <c r="B2" s="3" t="s">
        <v>626</v>
      </c>
    </row>
    <row r="3" customFormat="false" ht="26.25" hidden="false" customHeight="true" outlineLevel="0" collapsed="false">
      <c r="A3" s="3" t="s">
        <v>627</v>
      </c>
      <c r="B3" s="3" t="s">
        <v>628</v>
      </c>
    </row>
    <row r="4" customFormat="false" ht="39" hidden="false" customHeight="true" outlineLevel="0" collapsed="false">
      <c r="A4" s="3" t="s">
        <v>629</v>
      </c>
      <c r="B4" s="3" t="s">
        <v>630</v>
      </c>
    </row>
    <row r="5" customFormat="false" ht="39" hidden="false" customHeight="true" outlineLevel="0" collapsed="false">
      <c r="A5" s="3" t="s">
        <v>631</v>
      </c>
      <c r="B5" s="3" t="s">
        <v>632</v>
      </c>
    </row>
    <row r="6" customFormat="false" ht="39" hidden="false" customHeight="true" outlineLevel="0" collapsed="false">
      <c r="A6" s="3" t="s">
        <v>633</v>
      </c>
      <c r="B6" s="3" t="s">
        <v>634</v>
      </c>
    </row>
    <row r="7" customFormat="false" ht="39" hidden="false" customHeight="true" outlineLevel="0" collapsed="false">
      <c r="A7" s="3" t="s">
        <v>635</v>
      </c>
      <c r="B7" s="3" t="s">
        <v>636</v>
      </c>
    </row>
    <row r="8" customFormat="false" ht="39" hidden="false" customHeight="true" outlineLevel="0" collapsed="false">
      <c r="A8" s="3" t="s">
        <v>637</v>
      </c>
      <c r="B8" s="3" t="s">
        <v>638</v>
      </c>
    </row>
    <row r="9" customFormat="false" ht="51.75" hidden="false" customHeight="true" outlineLevel="0" collapsed="false">
      <c r="A9" s="3" t="s">
        <v>639</v>
      </c>
      <c r="B9" s="3" t="s">
        <v>640</v>
      </c>
    </row>
    <row r="10" customFormat="false" ht="26.25" hidden="false" customHeight="true" outlineLevel="0" collapsed="false">
      <c r="A10" s="3" t="s">
        <v>641</v>
      </c>
      <c r="B10" s="3" t="s">
        <v>642</v>
      </c>
    </row>
    <row r="11" customFormat="false" ht="26.25" hidden="false" customHeight="true" outlineLevel="0" collapsed="false">
      <c r="A11" s="3" t="s">
        <v>643</v>
      </c>
      <c r="B11" s="3" t="s">
        <v>644</v>
      </c>
    </row>
    <row r="12" customFormat="false" ht="26.25" hidden="false" customHeight="true" outlineLevel="0" collapsed="false">
      <c r="A12" s="3" t="s">
        <v>645</v>
      </c>
      <c r="B12" s="3" t="s">
        <v>646</v>
      </c>
    </row>
    <row r="13" customFormat="false" ht="26.25" hidden="false" customHeight="true" outlineLevel="0" collapsed="false">
      <c r="A13" s="3" t="s">
        <v>647</v>
      </c>
      <c r="B13" s="3" t="s">
        <v>648</v>
      </c>
    </row>
    <row r="14" customFormat="false" ht="26.25" hidden="false" customHeight="true" outlineLevel="0" collapsed="false">
      <c r="A14" s="3" t="s">
        <v>463</v>
      </c>
      <c r="B14" s="3" t="s">
        <v>649</v>
      </c>
    </row>
    <row r="15" customFormat="false" ht="15" hidden="false" customHeight="true" outlineLevel="0" collapsed="false">
      <c r="A15" s="3" t="s">
        <v>650</v>
      </c>
      <c r="B15" s="3" t="s">
        <v>651</v>
      </c>
    </row>
    <row r="16" customFormat="false" ht="26.25" hidden="false" customHeight="true" outlineLevel="0" collapsed="false">
      <c r="A16" s="3" t="s">
        <v>652</v>
      </c>
      <c r="B16" s="3" t="s">
        <v>653</v>
      </c>
    </row>
    <row r="17" customFormat="false" ht="15" hidden="false" customHeight="true" outlineLevel="0" collapsed="false">
      <c r="A17" s="3" t="s">
        <v>468</v>
      </c>
      <c r="B17" s="3" t="s">
        <v>654</v>
      </c>
    </row>
    <row r="18" customFormat="false" ht="26.85" hidden="false" customHeight="false" outlineLevel="0" collapsed="false">
      <c r="A18" s="3" t="s">
        <v>655</v>
      </c>
      <c r="B18" s="3" t="s">
        <v>656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2026-10-01T11:19:41Z</dcterms:created>
  <dc:creator>openpyxl</dc:creator>
  <dc:description/>
  <dc:language>en-US</dc:language>
  <cp:lastModifiedBy/>
  <dcterms:modified xsi:type="dcterms:W3CDTF">2026-10-01T16:18:01Z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